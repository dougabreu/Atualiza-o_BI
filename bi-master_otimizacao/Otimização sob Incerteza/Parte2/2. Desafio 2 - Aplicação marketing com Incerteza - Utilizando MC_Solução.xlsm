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porte\Downloads\"/>
    </mc:Choice>
  </mc:AlternateContent>
  <bookViews>
    <workbookView xWindow="0" yWindow="0" windowWidth="23040" windowHeight="9192" activeTab="3"/>
  </bookViews>
  <sheets>
    <sheet name="PROBLEMA" sheetId="6" r:id="rId1"/>
    <sheet name="Output variables" sheetId="8" r:id="rId2"/>
    <sheet name="Input variables" sheetId="7" r:id="rId3"/>
    <sheet name="Modelo" sheetId="1" r:id="rId4"/>
    <sheet name="_PalUtilTempWorksheet" sheetId="5" state="hidden" r:id="rId5"/>
    <sheet name="ev_HiddenInfo" sheetId="3" state="hidden" r:id="rId6"/>
  </sheets>
  <functionGroups builtInGroupCount="18"/>
  <definedNames>
    <definedName name="Pal_Workbook_GUID" hidden="1">"2ZCV84VN7EFTSA14ET1ET17A"</definedName>
    <definedName name="RiskMultipleCPUSupportEnabled" hidden="1">TRUE</definedName>
    <definedName name="solver_adj" localSheetId="3" hidden="1">Modelo!$C$11:$G$11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st" localSheetId="3" hidden="1">1</definedName>
    <definedName name="solver_itr" localSheetId="3" hidden="1">2147483647</definedName>
    <definedName name="solver_lhs1" localSheetId="3" hidden="1">Modelo!$C$11:$G$11</definedName>
    <definedName name="solver_lhs2" localSheetId="3" hidden="1">Modelo!$C$11:$G$11</definedName>
    <definedName name="solver_lhs3" localSheetId="3" hidden="1">Modelo!$C$11:$G$11</definedName>
    <definedName name="solver_lhs4" localSheetId="3" hidden="1">Modelo!$C$36</definedName>
    <definedName name="solver_lhs5" localSheetId="3" hidden="1">Modelo!$C$39</definedName>
    <definedName name="solver_lhs6" localSheetId="3" hidden="1">Modelo!#REF!</definedName>
    <definedName name="solver_lhs7" localSheetId="3" hidden="1">Modelo!#REF!</definedName>
    <definedName name="solver_lhs8" localSheetId="3" hidden="1">Modelo!#REF!</definedName>
    <definedName name="solver_lhs9" localSheetId="3" hidden="1">Modelo!#REF!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Modelo!$C$45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4</definedName>
    <definedName name="solver_rel3" localSheetId="3" hidden="1">3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2</definedName>
    <definedName name="solver_rel8" localSheetId="3" hidden="1">2</definedName>
    <definedName name="solver_rel9" localSheetId="3" hidden="1">2</definedName>
    <definedName name="solver_rhs1" localSheetId="3" hidden="1">Modelo!$C$13:$G$13</definedName>
    <definedName name="solver_rhs2" localSheetId="3" hidden="1">integer</definedName>
    <definedName name="solver_rhs3" localSheetId="3" hidden="1">Modelo!$C$9:$G$9</definedName>
    <definedName name="solver_rhs4" localSheetId="3" hidden="1">0</definedName>
    <definedName name="solver_rhs5" localSheetId="3" hidden="1">Modelo!$E$39</definedName>
    <definedName name="solver_rhs6" localSheetId="3" hidden="1">20</definedName>
    <definedName name="solver_rhs7" localSheetId="3" hidden="1">0</definedName>
    <definedName name="solver_rhs8" localSheetId="3" hidden="1">0</definedName>
    <definedName name="solver_rhs9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50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STWBD_StatToolsScatterplot_DisplayCorrelationCoefficient" hidden="1">"TRUE"</definedName>
    <definedName name="STWBD_StatToolsScatterplot_HasDefaultInfo" hidden="1">"TRUE"</definedName>
    <definedName name="STWBD_StatToolsScatterplot_VarSelectorDefaultDataSet" hidden="1">"DG112DE1EF"</definedName>
    <definedName name="STWBD_StatToolsScatterplot_XVariableList" hidden="1">2</definedName>
    <definedName name="STWBD_StatToolsScatterplot_XVariableList_1" hidden="1">"U_x0001_VG2D57BF831D729B26_x0001_"</definedName>
    <definedName name="STWBD_StatToolsScatterplot_XVariableList_2" hidden="1">"U_x0001_VG1E330A271EE8C447_x0001_"</definedName>
    <definedName name="STWBD_StatToolsScatterplot_YVariableList" hidden="1">1</definedName>
    <definedName name="STWBD_StatToolsScatterplot_YVariableList_1" hidden="1">"U_x0001_VGFC9F36D570F001_x0001_"</definedName>
  </definedNames>
  <calcPr calcId="162913"/>
</workbook>
</file>

<file path=xl/calcChain.xml><?xml version="1.0" encoding="utf-8"?>
<calcChain xmlns="http://schemas.openxmlformats.org/spreadsheetml/2006/main">
  <c r="X127" i="8" l="1"/>
  <c r="W127" i="8"/>
  <c r="X23" i="8"/>
  <c r="W23" i="8"/>
  <c r="AF127" i="7"/>
  <c r="AE127" i="7"/>
  <c r="AD127" i="7"/>
  <c r="AC127" i="7"/>
  <c r="AB127" i="7"/>
  <c r="AA127" i="7"/>
  <c r="Z127" i="7"/>
  <c r="Y127" i="7"/>
  <c r="X127" i="7"/>
  <c r="W127" i="7"/>
  <c r="AF23" i="7"/>
  <c r="AE23" i="7"/>
  <c r="AD23" i="7"/>
  <c r="AC23" i="7"/>
  <c r="AB23" i="7"/>
  <c r="AA23" i="7"/>
  <c r="Z23" i="7"/>
  <c r="Y23" i="7"/>
  <c r="X23" i="7"/>
  <c r="W23" i="7"/>
  <c r="G32" i="1"/>
  <c r="F32" i="1"/>
  <c r="E32" i="1"/>
  <c r="D32" i="1"/>
  <c r="C32" i="1"/>
  <c r="G31" i="1"/>
  <c r="F31" i="1"/>
  <c r="E31" i="1"/>
  <c r="D31" i="1"/>
  <c r="C31" i="1"/>
  <c r="G30" i="1"/>
  <c r="F30" i="1"/>
  <c r="E30" i="1"/>
  <c r="D30" i="1"/>
  <c r="C30" i="1"/>
  <c r="C23" i="1" l="1"/>
  <c r="F43" i="6" l="1"/>
  <c r="F40" i="6"/>
  <c r="G35" i="6"/>
  <c r="F35" i="6"/>
  <c r="E35" i="6"/>
  <c r="D35" i="6"/>
  <c r="C35" i="6"/>
  <c r="D40" i="6"/>
  <c r="C40" i="6"/>
  <c r="C24" i="1" l="1"/>
  <c r="C36" i="1" s="1"/>
  <c r="G24" i="1"/>
  <c r="E24" i="1"/>
  <c r="BF17" i="3"/>
  <c r="J16" i="3"/>
  <c r="I16" i="3"/>
  <c r="H16" i="3"/>
  <c r="BG17" i="3"/>
  <c r="BG16" i="3"/>
  <c r="F24" i="1" l="1"/>
  <c r="E36" i="1" s="1"/>
  <c r="BF16" i="3" s="1"/>
  <c r="D23" i="1"/>
  <c r="D24" i="1" s="1"/>
  <c r="C39" i="1" l="1"/>
  <c r="BD17" i="3" s="1"/>
  <c r="BD16" i="3"/>
  <c r="B1" i="3"/>
</calcChain>
</file>

<file path=xl/sharedStrings.xml><?xml version="1.0" encoding="utf-8"?>
<sst xmlns="http://schemas.openxmlformats.org/spreadsheetml/2006/main" count="425" uniqueCount="337">
  <si>
    <t>TV</t>
  </si>
  <si>
    <t>&lt;=</t>
  </si>
  <si>
    <t>Budget</t>
  </si>
  <si>
    <t>UNUSED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</si>
  <si>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</si>
  <si>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</si>
  <si>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</si>
  <si>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</si>
  <si>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</si>
  <si>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</si>
  <si>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</si>
  <si>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</si>
  <si>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HARD CONSTRAINT DEV</t>
  </si>
  <si>
    <t>CONSTRAINT SOLVER</t>
  </si>
  <si>
    <t>ROFUNC</t>
  </si>
  <si>
    <t>RISKOPT</t>
  </si>
  <si>
    <t>SOFT CONSTRAINT DEV</t>
  </si>
  <si>
    <t>EVAL (True/False or penalty)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</si>
  <si>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</si>
  <si>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</si>
  <si>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</si>
  <si>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</si>
  <si>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</si>
  <si>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</si>
  <si>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</si>
  <si>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</si>
  <si>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</si>
  <si>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</si>
  <si>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</si>
  <si>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</si>
  <si>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Formula Conversion Cell (not used in v5)</t>
  </si>
  <si>
    <t>Number Formatting Cell (introduced in v5)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</si>
  <si>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</si>
  <si>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</si>
  <si>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</si>
  <si>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</si>
  <si>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</si>
  <si>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</si>
  <si>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</si>
  <si>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</si>
  <si>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</si>
  <si>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</si>
  <si>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</si>
  <si>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</si>
  <si>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</si>
  <si>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</si>
  <si>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</si>
  <si>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</si>
  <si>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Population Size</t>
  </si>
  <si>
    <t>Seed (Is Auto, Value)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</si>
  <si>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</si>
  <si>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</si>
  <si>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</si>
  <si>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</si>
  <si>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</si>
  <si>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</si>
  <si>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</si>
  <si>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</si>
  <si>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</si>
  <si>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</si>
  <si>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</si>
  <si>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After Storage (enabled, macro)</t>
  </si>
  <si>
    <t>Finish (enabled, macro)</t>
  </si>
  <si>
    <t>5.7.1</t>
  </si>
  <si>
    <t>4.0.0</t>
  </si>
  <si>
    <t>DEFAULT PARENT SELECTION</t>
  </si>
  <si>
    <t>DEFAULT MUTATION</t>
  </si>
  <si>
    <t>DEFAULT CROSSOVER</t>
  </si>
  <si>
    <t>DEFAULT BACKTRACK</t>
  </si>
  <si>
    <t/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</si>
  <si>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</si>
  <si>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</si>
  <si>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</si>
  <si>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</si>
  <si>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</si>
  <si>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</si>
  <si>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</si>
  <si>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</si>
  <si>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>True,False,False</t>
  </si>
  <si>
    <t>Radio, TV costs</t>
  </si>
  <si>
    <t>Method + #Operators(Legacy)</t>
  </si>
  <si>
    <t>Mutation Rate (Legacy)</t>
  </si>
  <si>
    <t>Crossover Rate (Legacy)</t>
  </si>
  <si>
    <t>Out Stats</t>
  </si>
  <si>
    <t>Genetic Algorithm - Discrete Variable Warning Shown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</si>
  <si>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</si>
  <si>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</si>
  <si>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</si>
  <si>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</si>
  <si>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</si>
  <si>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</si>
  <si>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Same Seed Each Simulation (this was used in RISKOptimizer version 5 and earlier)</t>
  </si>
  <si>
    <t>Sampling Type (this was used in RISKOptimizer version 5 and earlier)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</si>
  <si>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</si>
  <si>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</si>
  <si>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</si>
  <si>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Before Recalc (enabled, macro), starting with v6 RISKOptimizer uses corresponding @RISK macro</t>
  </si>
  <si>
    <t>After Recalc (enabled, macro), starting with v6 RISKOptimizer uses corresponding @RISK macro</t>
  </si>
  <si>
    <t>Macro Before Simulation (enabled, macro), starting with v6, this is legacy setting</t>
  </si>
  <si>
    <t>Macro After Simulation (enabled, macro), starting with v6, this is legacy setting</t>
  </si>
  <si>
    <t>1,1,1,1,1,1,1,1,1,1,1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</si>
  <si>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</si>
  <si>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</si>
  <si>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</si>
  <si>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</si>
  <si>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</si>
  <si>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</si>
  <si>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</si>
  <si>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</si>
  <si>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</si>
  <si>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</si>
  <si>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</si>
  <si>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ColorOptimizationCells Called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</si>
  <si>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</si>
  <si>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</si>
  <si>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</si>
  <si>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</si>
  <si>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</si>
  <si>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</si>
  <si>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</si>
  <si>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</si>
  <si>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</si>
  <si>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</si>
  <si>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</si>
  <si>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</si>
  <si>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</si>
  <si>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</si>
  <si>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</si>
  <si>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</si>
  <si>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7.0.1</t>
  </si>
  <si>
    <t>7.0.0</t>
  </si>
  <si>
    <t>Quantidade de campanhas</t>
  </si>
  <si>
    <t>PROGRAMA DE DESCONTO</t>
  </si>
  <si>
    <t>PLANO DE PUBLICIDADE</t>
  </si>
  <si>
    <t>MEIO DE COMUNICAÇÃO</t>
  </si>
  <si>
    <t>NÚMERO DE CAMPANHAS</t>
  </si>
  <si>
    <t>CUSTO POR CAMPANHA</t>
  </si>
  <si>
    <t>CUSTO TOTAL</t>
  </si>
  <si>
    <t>RESTRIÇÃO DE CUSTO TOTAL</t>
  </si>
  <si>
    <t>OBJETIVO PARA MAXIMIZAR</t>
  </si>
  <si>
    <t>REVISTA</t>
  </si>
  <si>
    <t>RADIO</t>
  </si>
  <si>
    <t>EMAIL</t>
  </si>
  <si>
    <t>CUSTOS</t>
  </si>
  <si>
    <t>RESTRIÇÕES</t>
  </si>
  <si>
    <t>AUDIÊNCIA</t>
  </si>
  <si>
    <t>AUDIÊNCIA POR CAMPANHA</t>
  </si>
  <si>
    <t>QTD MÍNIMA</t>
  </si>
  <si>
    <t>QTD MAXIMA</t>
  </si>
  <si>
    <t>OBJETIVO</t>
  </si>
  <si>
    <t>CAMPANHA DE PUBLICIDADE MAIS EFICAZ</t>
  </si>
  <si>
    <t>AUMENTAR A AUDIÊNCIA SEM ULTRAPASSAR OS LIMITES DE GASTOS COM AS CAMPANHAS DE  PUBLICIDADE</t>
  </si>
  <si>
    <t>INTERNET</t>
  </si>
  <si>
    <t>RESTRIÇÃO DE GASTOS COM RÁDIO E EMAIL</t>
  </si>
  <si>
    <t>RÁDIO MENOS EMAIL</t>
  </si>
  <si>
    <t>CUSTOS E AUDIÊNCIA</t>
  </si>
  <si>
    <t xml:space="preserve">POSSIBILIDADE DE DIVULGAÇÃO EM 5 MEIOS DE COMUNICAÇÃO: </t>
  </si>
  <si>
    <t>CONSULTAR O PROGRAMA DE DESCONTO</t>
  </si>
  <si>
    <t>INTERNET / REDE SOCIAL</t>
  </si>
  <si>
    <t>REVISTA / JORNAL</t>
  </si>
  <si>
    <t>EMAIL / WHATSAPP</t>
  </si>
  <si>
    <t>OS GASTOS COM</t>
  </si>
  <si>
    <t>TEM QUE SER MAIORES DO QUE OS GASTOS COM</t>
  </si>
  <si>
    <t>AUDIÊNCIA POR CAMPANHA (Cenario 2)</t>
  </si>
  <si>
    <t>AUDIÊNCIA POR CAMPANHA (Cenario 3)</t>
  </si>
  <si>
    <t>AUDIÊNCIA TOTAL (Cenario 3)</t>
  </si>
  <si>
    <t>AUDIÊNCIA TOTAL (Cenario 2)</t>
  </si>
  <si>
    <t>AUDIÊNCIA TOTAL (Cenario 1)</t>
  </si>
  <si>
    <t>AUDIÊNCIA POR CAMPANHA (Cenario 1)</t>
  </si>
  <si>
    <t>Há uma exigência de ter no mínimo 2 campanhas e no máximo 20</t>
  </si>
  <si>
    <t>Ver Aba 'Audiencia'</t>
  </si>
  <si>
    <t>&gt;12</t>
  </si>
  <si>
    <t>AUDIENCIA TOTAL (Cenario 1)</t>
  </si>
  <si>
    <t>AUDIENCIA TOTAL (Cenario 3)</t>
  </si>
  <si>
    <t>AUDIENCIA TOTAL (Cenario 2)</t>
  </si>
  <si>
    <t>A PUC-Rio vai lançar um novo curso de pós-graduação e precisa divulgar que as vagas estão abertas. 
Suponha agora que a PUC-Rio está interessada em saber qual a faixa de custos totais que ela vai ter em uma próxima campanha. Dado que o numero de campanhas de cada meio de comunicação possui uma distribuição estatistica, obtenha essa faixa de valores e indique o valor mais provável de ser gasto para uma próxima campanha.</t>
  </si>
  <si>
    <t>Distribuição</t>
  </si>
  <si>
    <t>Uniforme</t>
  </si>
  <si>
    <t>Parametros</t>
  </si>
  <si>
    <t>minimo = 2</t>
  </si>
  <si>
    <t>máximo = 25</t>
  </si>
  <si>
    <t>máximo = 13</t>
  </si>
  <si>
    <t>Normal</t>
  </si>
  <si>
    <t>Triangular</t>
  </si>
  <si>
    <t>médio = 3</t>
  </si>
  <si>
    <t>máximo = 8</t>
  </si>
  <si>
    <t>média = 7</t>
  </si>
  <si>
    <r>
      <rPr>
        <sz val="11"/>
        <color theme="1"/>
        <rFont val="Calibri"/>
        <family val="2"/>
      </rPr>
      <t>σ</t>
    </r>
    <r>
      <rPr>
        <sz val="13.2"/>
        <color theme="1"/>
        <rFont val="Calibri"/>
        <family val="2"/>
      </rPr>
      <t xml:space="preserve"> = 3</t>
    </r>
  </si>
  <si>
    <t>Beta</t>
  </si>
  <si>
    <r>
      <rPr>
        <sz val="11"/>
        <color theme="1"/>
        <rFont val="Calibri"/>
        <family val="2"/>
      </rPr>
      <t>α = 6,86</t>
    </r>
  </si>
  <si>
    <t>β = 1,92</t>
  </si>
  <si>
    <t>fator mult = 11</t>
  </si>
  <si>
    <t>Dicas:
1 - Insira os valores de audiência obtidos no exercicio anterior!
2 - Verifique o código em VBA para alterar a distribuição de cada campanha
3 - Não se preocupar com as restrições de numero de campanhas</t>
  </si>
  <si>
    <t>&gt;</t>
  </si>
  <si>
    <t>Histogram data, Subset A (independent)</t>
  </si>
  <si>
    <t>Input 1 - EMAIL</t>
  </si>
  <si>
    <t>2,01 to 3,16</t>
  </si>
  <si>
    <t>3,16 to 4,31</t>
  </si>
  <si>
    <t>4,31 to 5,46</t>
  </si>
  <si>
    <t>5,46 to 6,61</t>
  </si>
  <si>
    <t>6,61 to 7,76</t>
  </si>
  <si>
    <t>7,76 to 8,91</t>
  </si>
  <si>
    <t>8,91 to 10,06</t>
  </si>
  <si>
    <t>10,06 to 11,21</t>
  </si>
  <si>
    <t>11,21 to 12,36</t>
  </si>
  <si>
    <t>12,36 to 13,51</t>
  </si>
  <si>
    <t>13,51 to 14,66</t>
  </si>
  <si>
    <t>14,66 to 15,81</t>
  </si>
  <si>
    <t>15,81 to 16,96</t>
  </si>
  <si>
    <t>16,96 to 18,11</t>
  </si>
  <si>
    <t>18,11 to 19,26</t>
  </si>
  <si>
    <t>19,26 to 20,41</t>
  </si>
  <si>
    <t>20,41 to 21,56</t>
  </si>
  <si>
    <t>21,56 to 22,71</t>
  </si>
  <si>
    <t>22,71 to 23,86</t>
  </si>
  <si>
    <t>23,86 to 25,01</t>
  </si>
  <si>
    <t>Input 2 - INTERNET</t>
  </si>
  <si>
    <t>4,24 to 4,58</t>
  </si>
  <si>
    <t>4,58 to 4,92</t>
  </si>
  <si>
    <t>4,92 to 5,26</t>
  </si>
  <si>
    <t>5,26 to 5,6</t>
  </si>
  <si>
    <t>5,6 to 5,94</t>
  </si>
  <si>
    <t>5,94 to 6,28</t>
  </si>
  <si>
    <t>6,28 to 6,62</t>
  </si>
  <si>
    <t>6,62 to 6,96</t>
  </si>
  <si>
    <t>6,96 to 7,3</t>
  </si>
  <si>
    <t>7,3 to 7,64</t>
  </si>
  <si>
    <t>7,64 to 7,98</t>
  </si>
  <si>
    <t>7,98 to 8,32</t>
  </si>
  <si>
    <t>8,32 to 8,66</t>
  </si>
  <si>
    <t>8,66 to 9</t>
  </si>
  <si>
    <t>9 to 9,34</t>
  </si>
  <si>
    <t>9,34 to 9,68</t>
  </si>
  <si>
    <t>9,68 to 10,02</t>
  </si>
  <si>
    <t>10,02 to 10,36</t>
  </si>
  <si>
    <t>10,36 to 10,7</t>
  </si>
  <si>
    <t>10,7 to 11,04</t>
  </si>
  <si>
    <t>Input 3 - REVISTA</t>
  </si>
  <si>
    <t>2,068 to 2,356</t>
  </si>
  <si>
    <t>2,356 to 2,644</t>
  </si>
  <si>
    <t>2,644 to 2,932</t>
  </si>
  <si>
    <t>2,932 to 3,22</t>
  </si>
  <si>
    <t>3,22 to 3,508</t>
  </si>
  <si>
    <t>3,508 to 3,796</t>
  </si>
  <si>
    <t>3,796 to 4,084</t>
  </si>
  <si>
    <t>4,084 to 4,372</t>
  </si>
  <si>
    <t>4,372 to 4,66</t>
  </si>
  <si>
    <t>4,66 to 4,948</t>
  </si>
  <si>
    <t>4,948 to 5,236</t>
  </si>
  <si>
    <t>5,236 to 5,524</t>
  </si>
  <si>
    <t>5,524 to 5,812</t>
  </si>
  <si>
    <t>5,812 to 6,1</t>
  </si>
  <si>
    <t>6,1 to 6,388</t>
  </si>
  <si>
    <t>6,388 to 6,676</t>
  </si>
  <si>
    <t>6,676 to 6,964</t>
  </si>
  <si>
    <t>6,964 to 7,252</t>
  </si>
  <si>
    <t>7,252 to 7,54</t>
  </si>
  <si>
    <t>7,54 to 7,828</t>
  </si>
  <si>
    <t>Input 4 - RADIO</t>
  </si>
  <si>
    <t>2 to 2,55</t>
  </si>
  <si>
    <t>2,55 to 3,1</t>
  </si>
  <si>
    <t>3,1 to 3,65</t>
  </si>
  <si>
    <t>3,65 to 4,2</t>
  </si>
  <si>
    <t>4,2 to 4,75</t>
  </si>
  <si>
    <t>4,75 to 5,3</t>
  </si>
  <si>
    <t>5,3 to 5,85</t>
  </si>
  <si>
    <t>5,85 to 6,4</t>
  </si>
  <si>
    <t>6,4 to 6,95</t>
  </si>
  <si>
    <t>6,95 to 7,5</t>
  </si>
  <si>
    <t>7,5 to 8,05</t>
  </si>
  <si>
    <t>8,05 to 8,6</t>
  </si>
  <si>
    <t>8,6 to 9,15</t>
  </si>
  <si>
    <t>9,15 to 9,7</t>
  </si>
  <si>
    <t>9,7 to 10,25</t>
  </si>
  <si>
    <t>10,25 to 10,8</t>
  </si>
  <si>
    <t>10,8 to 11,35</t>
  </si>
  <si>
    <t>11,35 to 11,9</t>
  </si>
  <si>
    <t>11,9 to 12,45</t>
  </si>
  <si>
    <t>12,45 to 13</t>
  </si>
  <si>
    <t>Input 5 - TV</t>
  </si>
  <si>
    <t>-2,01 to -1,11</t>
  </si>
  <si>
    <t>-1,11 to -0,21</t>
  </si>
  <si>
    <t>-0,21 to 0,69</t>
  </si>
  <si>
    <t>0,69 to 1,59</t>
  </si>
  <si>
    <t>1,59 to 2,49</t>
  </si>
  <si>
    <t>2,49 to 3,39</t>
  </si>
  <si>
    <t>3,39 to 4,29</t>
  </si>
  <si>
    <t>4,29 to 5,19</t>
  </si>
  <si>
    <t>5,19 to 6,09</t>
  </si>
  <si>
    <t>6,09 to 6,99</t>
  </si>
  <si>
    <t>6,99 to 7,89</t>
  </si>
  <si>
    <t>7,89 to 8,79</t>
  </si>
  <si>
    <t>8,79 to 9,69</t>
  </si>
  <si>
    <t>9,69 to 10,59</t>
  </si>
  <si>
    <t>10,59 to 11,49</t>
  </si>
  <si>
    <t>11,49 to 12,39</t>
  </si>
  <si>
    <t>12,39 to 13,29</t>
  </si>
  <si>
    <t>13,29 to 14,19</t>
  </si>
  <si>
    <t>14,19 to 15,09</t>
  </si>
  <si>
    <t>15,09 to 15,99</t>
  </si>
  <si>
    <t>Cumulative distribution data, Subset A (independent)</t>
  </si>
  <si>
    <t>Input 1 - EMAIL Statistics</t>
  </si>
  <si>
    <t>10th percentile</t>
  </si>
  <si>
    <t>Lower quartile</t>
  </si>
  <si>
    <t>Median</t>
  </si>
  <si>
    <t>Upper quartile</t>
  </si>
  <si>
    <t>90th percentile</t>
  </si>
  <si>
    <t>Variance</t>
  </si>
  <si>
    <t>St. dev.</t>
  </si>
  <si>
    <t>Input 2 - INTERNET Statistics</t>
  </si>
  <si>
    <t>Input 3 - REVISTA Statistics</t>
  </si>
  <si>
    <t>Input 4 - RADIO Statistics</t>
  </si>
  <si>
    <t>Input 5 - TV Statistics</t>
  </si>
  <si>
    <t xml:space="preserve">Histogram data, </t>
  </si>
  <si>
    <t>Output 1 - Custo</t>
  </si>
  <si>
    <t>2280 to 2850</t>
  </si>
  <si>
    <t>2850 to 3420</t>
  </si>
  <si>
    <t>3420 to 3990</t>
  </si>
  <si>
    <t>3990 to 4560</t>
  </si>
  <si>
    <t>4560 to 5130</t>
  </si>
  <si>
    <t>5130 to 5700</t>
  </si>
  <si>
    <t>5700 to 6270</t>
  </si>
  <si>
    <t>6270 to 6840</t>
  </si>
  <si>
    <t>6840 to 7410</t>
  </si>
  <si>
    <t>7410 to 7980</t>
  </si>
  <si>
    <t>7980 to 8550</t>
  </si>
  <si>
    <t>8550 to 9120</t>
  </si>
  <si>
    <t>9120 to 9690</t>
  </si>
  <si>
    <t>9690 to 10260</t>
  </si>
  <si>
    <t>10260 to 10830</t>
  </si>
  <si>
    <t>10830 to 11400</t>
  </si>
  <si>
    <t>11400 to 11970</t>
  </si>
  <si>
    <t>11970 to 12540</t>
  </si>
  <si>
    <t>12540 to 13110</t>
  </si>
  <si>
    <t>13110 to 13680</t>
  </si>
  <si>
    <t xml:space="preserve">Cumulative distribution data, </t>
  </si>
  <si>
    <t>Output 1 - Custo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</si>
</sst>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"/>
    <numFmt numFmtId="165" formatCode="_-[$R$-416]\ * #,##0.00_-;\-[$R$-416]\ * #,##0.00_-;_-[$R$-416]\ * &quot;-&quot;??_-;_-@_-"/>
  </numFmts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8"/>
      <color rgb="FF9C0006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rgb="FF9C0006"/>
      <name val="Calibri"/>
      <family val="2"/>
      <scheme val="minor"/>
    </font>
    <font>
      <sz val="16"/>
      <color theme="5" tint="-0.499984740745262"/>
      <name val="Calibri"/>
      <family val="2"/>
      <scheme val="minor"/>
    </font>
    <font>
      <sz val="16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</font>
    <font>
      <sz val="13.2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3" fillId="6" borderId="2" applyNumberFormat="0" applyAlignment="0" applyProtection="0"/>
  </cellStyleXfs>
  <cellXfs count="137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3" fontId="0" fillId="3" borderId="0" xfId="0" applyNumberFormat="1" applyFill="1" applyAlignment="1">
      <alignment horizontal="left"/>
    </xf>
    <xf numFmtId="0" fontId="0" fillId="0" borderId="0" xfId="0" quotePrefix="1" applyAlignment="1">
      <alignment horizontal="left"/>
    </xf>
    <xf numFmtId="3" fontId="0" fillId="2" borderId="0" xfId="0" applyNumberFormat="1" applyFill="1" applyAlignment="1">
      <alignment horizontal="left"/>
    </xf>
    <xf numFmtId="0" fontId="0" fillId="0" borderId="0" xfId="0" applyFill="1" applyBorder="1"/>
    <xf numFmtId="0" fontId="1" fillId="0" borderId="0" xfId="0" applyFont="1" applyFill="1" applyBorder="1"/>
    <xf numFmtId="0" fontId="1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3" fontId="1" fillId="0" borderId="0" xfId="0" applyNumberFormat="1" applyFont="1" applyBorder="1" applyAlignment="1">
      <alignment horizontal="center" vertical="center"/>
    </xf>
    <xf numFmtId="3" fontId="1" fillId="0" borderId="7" xfId="0" applyNumberFormat="1" applyFont="1" applyBorder="1" applyAlignment="1">
      <alignment horizontal="center" vertical="center"/>
    </xf>
    <xf numFmtId="3" fontId="1" fillId="0" borderId="9" xfId="0" applyNumberFormat="1" applyFont="1" applyBorder="1" applyAlignment="1">
      <alignment horizontal="center" vertical="center"/>
    </xf>
    <xf numFmtId="3" fontId="1" fillId="0" borderId="1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7" borderId="0" xfId="0" applyFill="1"/>
    <xf numFmtId="0" fontId="2" fillId="5" borderId="6" xfId="1" applyBorder="1" applyAlignment="1">
      <alignment horizontal="center" vertical="center"/>
    </xf>
    <xf numFmtId="0" fontId="11" fillId="0" borderId="14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165" fontId="12" fillId="0" borderId="14" xfId="0" applyNumberFormat="1" applyFont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/>
    <xf numFmtId="0" fontId="9" fillId="7" borderId="0" xfId="0" applyFont="1" applyFill="1" applyBorder="1" applyAlignment="1">
      <alignment vertical="center" wrapText="1"/>
    </xf>
    <xf numFmtId="0" fontId="0" fillId="7" borderId="20" xfId="0" applyFill="1" applyBorder="1" applyAlignment="1"/>
    <xf numFmtId="0" fontId="0" fillId="7" borderId="0" xfId="0" applyFill="1" applyBorder="1" applyAlignment="1"/>
    <xf numFmtId="0" fontId="0" fillId="7" borderId="21" xfId="0" applyFill="1" applyBorder="1" applyAlignment="1"/>
    <xf numFmtId="0" fontId="10" fillId="5" borderId="22" xfId="1" applyFont="1" applyBorder="1" applyAlignment="1">
      <alignment horizontal="center"/>
    </xf>
    <xf numFmtId="0" fontId="7" fillId="7" borderId="0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/>
    </xf>
    <xf numFmtId="0" fontId="7" fillId="7" borderId="22" xfId="0" applyFont="1" applyFill="1" applyBorder="1" applyAlignment="1">
      <alignment horizontal="center"/>
    </xf>
    <xf numFmtId="0" fontId="7" fillId="7" borderId="20" xfId="0" applyFont="1" applyFill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164" fontId="12" fillId="0" borderId="28" xfId="0" applyNumberFormat="1" applyFont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13" fillId="7" borderId="29" xfId="0" applyFont="1" applyFill="1" applyBorder="1" applyAlignment="1">
      <alignment horizontal="center" vertical="center"/>
    </xf>
    <xf numFmtId="0" fontId="13" fillId="7" borderId="30" xfId="0" applyFont="1" applyFill="1" applyBorder="1" applyAlignment="1">
      <alignment horizontal="center" vertical="center"/>
    </xf>
    <xf numFmtId="0" fontId="13" fillId="7" borderId="31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3" fontId="15" fillId="4" borderId="2" xfId="2" applyNumberFormat="1" applyFont="1" applyFill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5" borderId="17" xfId="1" applyBorder="1" applyAlignment="1">
      <alignment horizontal="center" vertical="center"/>
    </xf>
    <xf numFmtId="0" fontId="2" fillId="5" borderId="33" xfId="1" applyBorder="1" applyAlignment="1">
      <alignment horizontal="center" vertical="center"/>
    </xf>
    <xf numFmtId="0" fontId="2" fillId="5" borderId="34" xfId="1" applyBorder="1" applyAlignment="1">
      <alignment horizontal="center" vertical="center"/>
    </xf>
    <xf numFmtId="3" fontId="15" fillId="4" borderId="35" xfId="2" applyNumberFormat="1" applyFont="1" applyFill="1" applyBorder="1" applyAlignment="1">
      <alignment horizontal="center" vertical="center"/>
    </xf>
    <xf numFmtId="3" fontId="15" fillId="4" borderId="2" xfId="2" applyNumberFormat="1" applyFont="1" applyFill="1" applyBorder="1" applyAlignment="1">
      <alignment horizontal="center" vertical="center"/>
    </xf>
    <xf numFmtId="3" fontId="15" fillId="4" borderId="36" xfId="2" applyNumberFormat="1" applyFont="1" applyFill="1" applyBorder="1" applyAlignment="1">
      <alignment horizontal="center" vertical="center"/>
    </xf>
    <xf numFmtId="0" fontId="0" fillId="0" borderId="0" xfId="0" quotePrefix="1" applyBorder="1"/>
    <xf numFmtId="0" fontId="0" fillId="0" borderId="21" xfId="0" quotePrefix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5" xfId="0" quotePrefix="1" applyBorder="1" applyAlignment="1">
      <alignment horizontal="center" vertical="center"/>
    </xf>
    <xf numFmtId="0" fontId="0" fillId="0" borderId="25" xfId="0" quotePrefix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6" fillId="8" borderId="17" xfId="0" applyFont="1" applyFill="1" applyBorder="1" applyAlignment="1">
      <alignment horizontal="center" vertical="center" wrapText="1"/>
    </xf>
    <xf numFmtId="0" fontId="9" fillId="8" borderId="18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 wrapText="1"/>
    </xf>
    <xf numFmtId="0" fontId="9" fillId="8" borderId="2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 wrapText="1"/>
    </xf>
    <xf numFmtId="0" fontId="9" fillId="8" borderId="21" xfId="0" applyFont="1" applyFill="1" applyBorder="1" applyAlignment="1">
      <alignment horizontal="center" vertical="center" wrapText="1"/>
    </xf>
    <xf numFmtId="0" fontId="10" fillId="5" borderId="23" xfId="1" applyFont="1" applyBorder="1" applyAlignment="1">
      <alignment horizontal="center"/>
    </xf>
    <xf numFmtId="0" fontId="10" fillId="5" borderId="15" xfId="1" applyFont="1" applyBorder="1" applyAlignment="1">
      <alignment horizontal="center"/>
    </xf>
    <xf numFmtId="0" fontId="10" fillId="5" borderId="27" xfId="1" applyFont="1" applyBorder="1" applyAlignment="1">
      <alignment horizontal="center"/>
    </xf>
    <xf numFmtId="0" fontId="10" fillId="5" borderId="16" xfId="1" applyFont="1" applyBorder="1" applyAlignment="1">
      <alignment horizontal="center"/>
    </xf>
    <xf numFmtId="0" fontId="9" fillId="8" borderId="17" xfId="0" applyFont="1" applyFill="1" applyBorder="1" applyAlignment="1">
      <alignment horizontal="center" vertical="center" wrapText="1"/>
    </xf>
    <xf numFmtId="0" fontId="13" fillId="7" borderId="30" xfId="0" applyFont="1" applyFill="1" applyBorder="1" applyAlignment="1">
      <alignment horizontal="center" vertical="center" wrapText="1"/>
    </xf>
    <xf numFmtId="165" fontId="12" fillId="0" borderId="32" xfId="0" applyNumberFormat="1" applyFont="1" applyBorder="1" applyAlignment="1">
      <alignment horizontal="center"/>
    </xf>
    <xf numFmtId="165" fontId="12" fillId="0" borderId="15" xfId="0" applyNumberFormat="1" applyFont="1" applyBorder="1" applyAlignment="1">
      <alignment horizontal="center"/>
    </xf>
    <xf numFmtId="165" fontId="12" fillId="0" borderId="27" xfId="0" applyNumberFormat="1" applyFont="1" applyBorder="1" applyAlignment="1">
      <alignment horizontal="center"/>
    </xf>
    <xf numFmtId="0" fontId="1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2" fillId="5" borderId="11" xfId="1" applyBorder="1" applyAlignment="1">
      <alignment horizontal="center" vertical="center"/>
    </xf>
    <xf numFmtId="0" fontId="2" fillId="5" borderId="12" xfId="1" applyBorder="1" applyAlignment="1">
      <alignment horizontal="center" vertical="center"/>
    </xf>
    <xf numFmtId="0" fontId="2" fillId="5" borderId="13" xfId="1" applyBorder="1" applyAlignment="1">
      <alignment horizontal="center" vertical="center"/>
    </xf>
    <xf numFmtId="0" fontId="7" fillId="0" borderId="8" xfId="0" applyFont="1" applyBorder="1" applyAlignment="1">
      <alignment horizontal="center" wrapText="1"/>
    </xf>
    <xf numFmtId="0" fontId="7" fillId="0" borderId="9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6" fillId="5" borderId="11" xfId="1" applyFont="1" applyBorder="1" applyAlignment="1">
      <alignment horizontal="center"/>
    </xf>
    <xf numFmtId="0" fontId="6" fillId="5" borderId="12" xfId="1" applyFont="1" applyBorder="1" applyAlignment="1">
      <alignment horizontal="center"/>
    </xf>
    <xf numFmtId="0" fontId="6" fillId="5" borderId="13" xfId="1" applyFont="1" applyBorder="1" applyAlignment="1">
      <alignment horizontal="center"/>
    </xf>
    <xf numFmtId="0" fontId="2" fillId="5" borderId="6" xfId="1" applyBorder="1" applyAlignment="1">
      <alignment horizontal="center" vertical="center"/>
    </xf>
    <xf numFmtId="0" fontId="2" fillId="5" borderId="0" xfId="1" applyBorder="1" applyAlignment="1">
      <alignment horizontal="center" vertical="center"/>
    </xf>
    <xf numFmtId="17" fontId="2" fillId="5" borderId="14" xfId="1" applyNumberFormat="1" applyBorder="1" applyAlignment="1">
      <alignment horizontal="center" vertical="center"/>
    </xf>
    <xf numFmtId="0" fontId="2" fillId="5" borderId="14" xfId="1" applyBorder="1" applyAlignment="1">
      <alignment horizontal="center" vertical="center"/>
    </xf>
    <xf numFmtId="2" fontId="1" fillId="0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Entrada" xfId="2" builtinId="20"/>
    <cellStyle name="Incorreto" xfId="1" builtinId="27"/>
    <cellStyle name="Normal" xfId="0" builtinId="0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Output 1 - Custo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'Output variables'!$W$3:$W$22</c:f>
              <c:strCache>
                <c:ptCount val="20"/>
                <c:pt idx="0">
                  <c:v>2280 to 2850</c:v>
                </c:pt>
                <c:pt idx="1">
                  <c:v>2850 to 3420</c:v>
                </c:pt>
                <c:pt idx="2">
                  <c:v>3420 to 3990</c:v>
                </c:pt>
                <c:pt idx="3">
                  <c:v>3990 to 4560</c:v>
                </c:pt>
                <c:pt idx="4">
                  <c:v>4560 to 5130</c:v>
                </c:pt>
                <c:pt idx="5">
                  <c:v>5130 to 5700</c:v>
                </c:pt>
                <c:pt idx="6">
                  <c:v>5700 to 6270</c:v>
                </c:pt>
                <c:pt idx="7">
                  <c:v>6270 to 6840</c:v>
                </c:pt>
                <c:pt idx="8">
                  <c:v>6840 to 7410</c:v>
                </c:pt>
                <c:pt idx="9">
                  <c:v>7410 to 7980</c:v>
                </c:pt>
                <c:pt idx="10">
                  <c:v>7980 to 8550</c:v>
                </c:pt>
                <c:pt idx="11">
                  <c:v>8550 to 9120</c:v>
                </c:pt>
                <c:pt idx="12">
                  <c:v>9120 to 9690</c:v>
                </c:pt>
                <c:pt idx="13">
                  <c:v>9690 to 10260</c:v>
                </c:pt>
                <c:pt idx="14">
                  <c:v>10260 to 10830</c:v>
                </c:pt>
                <c:pt idx="15">
                  <c:v>10830 to 11400</c:v>
                </c:pt>
                <c:pt idx="16">
                  <c:v>11400 to 11970</c:v>
                </c:pt>
                <c:pt idx="17">
                  <c:v>11970 to 12540</c:v>
                </c:pt>
                <c:pt idx="18">
                  <c:v>12540 to 13110</c:v>
                </c:pt>
                <c:pt idx="19">
                  <c:v>13110 to 13680</c:v>
                </c:pt>
              </c:strCache>
            </c:strRef>
          </c:cat>
          <c:val>
            <c:numRef>
              <c:f>'Output variables'!$X$3:$X$22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14</c:v>
                </c:pt>
                <c:pt idx="3">
                  <c:v>15</c:v>
                </c:pt>
                <c:pt idx="4">
                  <c:v>31</c:v>
                </c:pt>
                <c:pt idx="5">
                  <c:v>52</c:v>
                </c:pt>
                <c:pt idx="6">
                  <c:v>74</c:v>
                </c:pt>
                <c:pt idx="7">
                  <c:v>80</c:v>
                </c:pt>
                <c:pt idx="8">
                  <c:v>96</c:v>
                </c:pt>
                <c:pt idx="9">
                  <c:v>122</c:v>
                </c:pt>
                <c:pt idx="10">
                  <c:v>122</c:v>
                </c:pt>
                <c:pt idx="11">
                  <c:v>114</c:v>
                </c:pt>
                <c:pt idx="12">
                  <c:v>84</c:v>
                </c:pt>
                <c:pt idx="13">
                  <c:v>62</c:v>
                </c:pt>
                <c:pt idx="14">
                  <c:v>60</c:v>
                </c:pt>
                <c:pt idx="15">
                  <c:v>37</c:v>
                </c:pt>
                <c:pt idx="16">
                  <c:v>14</c:v>
                </c:pt>
                <c:pt idx="17">
                  <c:v>11</c:v>
                </c:pt>
                <c:pt idx="18">
                  <c:v>5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2-49DC-BE09-153598643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5193599"/>
        <c:axId val="1985213151"/>
      </c:barChart>
      <c:catAx>
        <c:axId val="198519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5213151"/>
        <c:crosses val="autoZero"/>
        <c:auto val="1"/>
        <c:lblAlgn val="ctr"/>
        <c:lblOffset val="100"/>
        <c:noMultiLvlLbl val="0"/>
      </c:catAx>
      <c:valAx>
        <c:axId val="1985213151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5193599"/>
        <c:crosses val="autoZero"/>
        <c:crossBetween val="between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Output 1 - Custo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'Output variables'!$W$27:$W$126</c:f>
              <c:numCache>
                <c:formatCode>General</c:formatCode>
                <c:ptCount val="100"/>
                <c:pt idx="0">
                  <c:v>1861.0998557107164</c:v>
                </c:pt>
                <c:pt idx="1">
                  <c:v>3619.146042763593</c:v>
                </c:pt>
                <c:pt idx="2">
                  <c:v>4005.7826511021362</c:v>
                </c:pt>
                <c:pt idx="3">
                  <c:v>4315.0904737264646</c:v>
                </c:pt>
                <c:pt idx="4">
                  <c:v>4678.2054805271819</c:v>
                </c:pt>
                <c:pt idx="5">
                  <c:v>4942.7579820751762</c:v>
                </c:pt>
                <c:pt idx="6">
                  <c:v>5069.778640805227</c:v>
                </c:pt>
                <c:pt idx="7">
                  <c:v>5190.5035897470434</c:v>
                </c:pt>
                <c:pt idx="8">
                  <c:v>5326.3735341123565</c:v>
                </c:pt>
                <c:pt idx="9">
                  <c:v>5422.9611985617321</c:v>
                </c:pt>
                <c:pt idx="10">
                  <c:v>5566.2736114520631</c:v>
                </c:pt>
                <c:pt idx="11">
                  <c:v>5640.8669971136551</c:v>
                </c:pt>
                <c:pt idx="12">
                  <c:v>5706.6682258743413</c:v>
                </c:pt>
                <c:pt idx="13">
                  <c:v>5757.1177807718332</c:v>
                </c:pt>
                <c:pt idx="14">
                  <c:v>5893.7767312574606</c:v>
                </c:pt>
                <c:pt idx="15">
                  <c:v>5969.4795925306153</c:v>
                </c:pt>
                <c:pt idx="16">
                  <c:v>6048.7983027073442</c:v>
                </c:pt>
                <c:pt idx="17">
                  <c:v>6116.2795476184474</c:v>
                </c:pt>
                <c:pt idx="18">
                  <c:v>6169.6701436933217</c:v>
                </c:pt>
                <c:pt idx="19">
                  <c:v>6240.7155631513342</c:v>
                </c:pt>
                <c:pt idx="20">
                  <c:v>6321.3746720207264</c:v>
                </c:pt>
                <c:pt idx="21">
                  <c:v>6399.9931565658262</c:v>
                </c:pt>
                <c:pt idx="22">
                  <c:v>6450.3644657801487</c:v>
                </c:pt>
                <c:pt idx="23">
                  <c:v>6510.230187385062</c:v>
                </c:pt>
                <c:pt idx="24">
                  <c:v>6594.0029366436065</c:v>
                </c:pt>
                <c:pt idx="25">
                  <c:v>6640.8380839129877</c:v>
                </c:pt>
                <c:pt idx="26">
                  <c:v>6724.8677636907742</c:v>
                </c:pt>
                <c:pt idx="27">
                  <c:v>6834.0120833013998</c:v>
                </c:pt>
                <c:pt idx="28">
                  <c:v>6881.9040504353088</c:v>
                </c:pt>
                <c:pt idx="29">
                  <c:v>6934.5178208324014</c:v>
                </c:pt>
                <c:pt idx="30">
                  <c:v>7005.0629127268057</c:v>
                </c:pt>
                <c:pt idx="31">
                  <c:v>7083.6064798323023</c:v>
                </c:pt>
                <c:pt idx="32">
                  <c:v>7150.9484119544613</c:v>
                </c:pt>
                <c:pt idx="33">
                  <c:v>7205.2976524373171</c:v>
                </c:pt>
                <c:pt idx="34">
                  <c:v>7263.2647977222687</c:v>
                </c:pt>
                <c:pt idx="35">
                  <c:v>7345.7946957821805</c:v>
                </c:pt>
                <c:pt idx="36">
                  <c:v>7378.9668332583551</c:v>
                </c:pt>
                <c:pt idx="37">
                  <c:v>7420.3943274136254</c:v>
                </c:pt>
                <c:pt idx="38">
                  <c:v>7477.8372754318971</c:v>
                </c:pt>
                <c:pt idx="39">
                  <c:v>7515.3606731286254</c:v>
                </c:pt>
                <c:pt idx="40">
                  <c:v>7589.9667011708862</c:v>
                </c:pt>
                <c:pt idx="41">
                  <c:v>7630.9384427893201</c:v>
                </c:pt>
                <c:pt idx="42">
                  <c:v>7661.4165198430273</c:v>
                </c:pt>
                <c:pt idx="43">
                  <c:v>7711.3682298530157</c:v>
                </c:pt>
                <c:pt idx="44">
                  <c:v>7756.8134032336902</c:v>
                </c:pt>
                <c:pt idx="45">
                  <c:v>7806.644539990566</c:v>
                </c:pt>
                <c:pt idx="46">
                  <c:v>7875.6490311439484</c:v>
                </c:pt>
                <c:pt idx="47">
                  <c:v>7913.7600804690846</c:v>
                </c:pt>
                <c:pt idx="48">
                  <c:v>7950.8759442926057</c:v>
                </c:pt>
                <c:pt idx="49">
                  <c:v>7981.6646323457462</c:v>
                </c:pt>
                <c:pt idx="50">
                  <c:v>8036.5503369742109</c:v>
                </c:pt>
                <c:pt idx="51">
                  <c:v>8072.8743808530153</c:v>
                </c:pt>
                <c:pt idx="52">
                  <c:v>8122.9570855010879</c:v>
                </c:pt>
                <c:pt idx="53">
                  <c:v>8177.4710065931686</c:v>
                </c:pt>
                <c:pt idx="54">
                  <c:v>8214.0609737860086</c:v>
                </c:pt>
                <c:pt idx="55">
                  <c:v>8290.5974388441427</c:v>
                </c:pt>
                <c:pt idx="56">
                  <c:v>8324.7478569981249</c:v>
                </c:pt>
                <c:pt idx="57">
                  <c:v>8369.9687847045079</c:v>
                </c:pt>
                <c:pt idx="58">
                  <c:v>8408.5785438576677</c:v>
                </c:pt>
                <c:pt idx="59">
                  <c:v>8445.4791972817438</c:v>
                </c:pt>
                <c:pt idx="60">
                  <c:v>8508.0821933504485</c:v>
                </c:pt>
                <c:pt idx="61">
                  <c:v>8541.3441228343399</c:v>
                </c:pt>
                <c:pt idx="62">
                  <c:v>8603.0183446320934</c:v>
                </c:pt>
                <c:pt idx="63">
                  <c:v>8658.3589065328379</c:v>
                </c:pt>
                <c:pt idx="64">
                  <c:v>8737.7030097592087</c:v>
                </c:pt>
                <c:pt idx="65">
                  <c:v>8773.6867921392895</c:v>
                </c:pt>
                <c:pt idx="66">
                  <c:v>8819.7937561684339</c:v>
                </c:pt>
                <c:pt idx="67">
                  <c:v>8881.5517745453144</c:v>
                </c:pt>
                <c:pt idx="68">
                  <c:v>8927.0200524454049</c:v>
                </c:pt>
                <c:pt idx="69">
                  <c:v>8974.8470099282458</c:v>
                </c:pt>
                <c:pt idx="70">
                  <c:v>9013.5735921774358</c:v>
                </c:pt>
                <c:pt idx="71">
                  <c:v>9048.4973989212431</c:v>
                </c:pt>
                <c:pt idx="72">
                  <c:v>9084.8924378674037</c:v>
                </c:pt>
                <c:pt idx="73">
                  <c:v>9124.434417757031</c:v>
                </c:pt>
                <c:pt idx="74">
                  <c:v>9199.2765487181605</c:v>
                </c:pt>
                <c:pt idx="75">
                  <c:v>9253.4890713425702</c:v>
                </c:pt>
                <c:pt idx="76">
                  <c:v>9336.0572672982416</c:v>
                </c:pt>
                <c:pt idx="77">
                  <c:v>9391.5279316447195</c:v>
                </c:pt>
                <c:pt idx="78">
                  <c:v>9463.3213504681535</c:v>
                </c:pt>
                <c:pt idx="79">
                  <c:v>9546.7848669561045</c:v>
                </c:pt>
                <c:pt idx="80">
                  <c:v>9596.7842319504816</c:v>
                </c:pt>
                <c:pt idx="81">
                  <c:v>9713.3190292831641</c:v>
                </c:pt>
                <c:pt idx="82">
                  <c:v>9766.5032636893011</c:v>
                </c:pt>
                <c:pt idx="83">
                  <c:v>9850.6118358309886</c:v>
                </c:pt>
                <c:pt idx="84">
                  <c:v>9954.3593560652753</c:v>
                </c:pt>
                <c:pt idx="85">
                  <c:v>10018.604284731115</c:v>
                </c:pt>
                <c:pt idx="86">
                  <c:v>10126.104787748405</c:v>
                </c:pt>
                <c:pt idx="87">
                  <c:v>10223.052470041661</c:v>
                </c:pt>
                <c:pt idx="88">
                  <c:v>10353.825685203556</c:v>
                </c:pt>
                <c:pt idx="89">
                  <c:v>10428.145416193733</c:v>
                </c:pt>
                <c:pt idx="90">
                  <c:v>10533.525563514508</c:v>
                </c:pt>
                <c:pt idx="91">
                  <c:v>10614.615155025604</c:v>
                </c:pt>
                <c:pt idx="92">
                  <c:v>10714.793674636698</c:v>
                </c:pt>
                <c:pt idx="93">
                  <c:v>10810.280091472803</c:v>
                </c:pt>
                <c:pt idx="94">
                  <c:v>10931.110390546193</c:v>
                </c:pt>
                <c:pt idx="95">
                  <c:v>11096.450297980286</c:v>
                </c:pt>
                <c:pt idx="96">
                  <c:v>11244.490405033535</c:v>
                </c:pt>
                <c:pt idx="97">
                  <c:v>11485.415496457679</c:v>
                </c:pt>
                <c:pt idx="98">
                  <c:v>11887.109037653543</c:v>
                </c:pt>
                <c:pt idx="99">
                  <c:v>14436.146515689563</c:v>
                </c:pt>
              </c:numCache>
            </c:numRef>
          </c:xVal>
          <c:yVal>
            <c:numRef>
              <c:f>'Output variables'!$X$27:$X$126</c:f>
              <c:numCache>
                <c:formatCode>General</c:formatCode>
                <c:ptCount val="100"/>
                <c:pt idx="0">
                  <c:v>9.99000999000999E-4</c:v>
                </c:pt>
                <c:pt idx="1">
                  <c:v>9.99000999000999E-3</c:v>
                </c:pt>
                <c:pt idx="2">
                  <c:v>1.998001998001998E-2</c:v>
                </c:pt>
                <c:pt idx="3">
                  <c:v>2.9970029970029972E-2</c:v>
                </c:pt>
                <c:pt idx="4">
                  <c:v>3.996003996003996E-2</c:v>
                </c:pt>
                <c:pt idx="5">
                  <c:v>4.9950049950049952E-2</c:v>
                </c:pt>
                <c:pt idx="6">
                  <c:v>5.9940059940059943E-2</c:v>
                </c:pt>
                <c:pt idx="7">
                  <c:v>6.9930069930069935E-2</c:v>
                </c:pt>
                <c:pt idx="8">
                  <c:v>7.992007992007992E-2</c:v>
                </c:pt>
                <c:pt idx="9">
                  <c:v>8.9910089910089905E-2</c:v>
                </c:pt>
                <c:pt idx="10">
                  <c:v>9.9900099900099903E-2</c:v>
                </c:pt>
                <c:pt idx="11">
                  <c:v>0.10989010989010989</c:v>
                </c:pt>
                <c:pt idx="12">
                  <c:v>0.11988011988011989</c:v>
                </c:pt>
                <c:pt idx="13">
                  <c:v>0.12987012987012986</c:v>
                </c:pt>
                <c:pt idx="14">
                  <c:v>0.13986013986013987</c:v>
                </c:pt>
                <c:pt idx="15">
                  <c:v>0.14985014985014986</c:v>
                </c:pt>
                <c:pt idx="16">
                  <c:v>0.15984015984015984</c:v>
                </c:pt>
                <c:pt idx="17">
                  <c:v>0.16983016983016982</c:v>
                </c:pt>
                <c:pt idx="18">
                  <c:v>0.17982017982017981</c:v>
                </c:pt>
                <c:pt idx="19">
                  <c:v>0.18981018981018982</c:v>
                </c:pt>
                <c:pt idx="20">
                  <c:v>0.19980019980019981</c:v>
                </c:pt>
                <c:pt idx="21">
                  <c:v>0.20979020979020979</c:v>
                </c:pt>
                <c:pt idx="22">
                  <c:v>0.21978021978021978</c:v>
                </c:pt>
                <c:pt idx="23">
                  <c:v>0.22977022977022976</c:v>
                </c:pt>
                <c:pt idx="24">
                  <c:v>0.23976023976023977</c:v>
                </c:pt>
                <c:pt idx="25">
                  <c:v>0.24975024975024976</c:v>
                </c:pt>
                <c:pt idx="26">
                  <c:v>0.25974025974025972</c:v>
                </c:pt>
                <c:pt idx="27">
                  <c:v>0.26973026973026976</c:v>
                </c:pt>
                <c:pt idx="28">
                  <c:v>0.27972027972027974</c:v>
                </c:pt>
                <c:pt idx="29">
                  <c:v>0.28971028971028973</c:v>
                </c:pt>
                <c:pt idx="30">
                  <c:v>0.29970029970029971</c:v>
                </c:pt>
                <c:pt idx="31">
                  <c:v>0.3096903096903097</c:v>
                </c:pt>
                <c:pt idx="32">
                  <c:v>0.31968031968031968</c:v>
                </c:pt>
                <c:pt idx="33">
                  <c:v>0.32967032967032966</c:v>
                </c:pt>
                <c:pt idx="34">
                  <c:v>0.33966033966033965</c:v>
                </c:pt>
                <c:pt idx="35">
                  <c:v>0.34965034965034963</c:v>
                </c:pt>
                <c:pt idx="36">
                  <c:v>0.35964035964035962</c:v>
                </c:pt>
                <c:pt idx="37">
                  <c:v>0.3696303696303696</c:v>
                </c:pt>
                <c:pt idx="38">
                  <c:v>0.37962037962037964</c:v>
                </c:pt>
                <c:pt idx="39">
                  <c:v>0.38961038961038963</c:v>
                </c:pt>
                <c:pt idx="40">
                  <c:v>0.39960039960039961</c:v>
                </c:pt>
                <c:pt idx="41">
                  <c:v>0.4095904095904096</c:v>
                </c:pt>
                <c:pt idx="42">
                  <c:v>0.41958041958041958</c:v>
                </c:pt>
                <c:pt idx="43">
                  <c:v>0.42957042957042957</c:v>
                </c:pt>
                <c:pt idx="44">
                  <c:v>0.43956043956043955</c:v>
                </c:pt>
                <c:pt idx="45">
                  <c:v>0.44955044955044954</c:v>
                </c:pt>
                <c:pt idx="46">
                  <c:v>0.45954045954045952</c:v>
                </c:pt>
                <c:pt idx="47">
                  <c:v>0.46953046953046951</c:v>
                </c:pt>
                <c:pt idx="48">
                  <c:v>0.47952047952047955</c:v>
                </c:pt>
                <c:pt idx="49">
                  <c:v>0.48951048951048953</c:v>
                </c:pt>
                <c:pt idx="50">
                  <c:v>0.49950049950049952</c:v>
                </c:pt>
                <c:pt idx="51">
                  <c:v>0.50949050949050945</c:v>
                </c:pt>
                <c:pt idx="52">
                  <c:v>0.51948051948051943</c:v>
                </c:pt>
                <c:pt idx="53">
                  <c:v>0.52947052947052942</c:v>
                </c:pt>
                <c:pt idx="54">
                  <c:v>0.53946053946053951</c:v>
                </c:pt>
                <c:pt idx="55">
                  <c:v>0.5494505494505495</c:v>
                </c:pt>
                <c:pt idx="56">
                  <c:v>0.55944055944055948</c:v>
                </c:pt>
                <c:pt idx="57">
                  <c:v>0.56943056943056947</c:v>
                </c:pt>
                <c:pt idx="58">
                  <c:v>0.57942057942057945</c:v>
                </c:pt>
                <c:pt idx="59">
                  <c:v>0.58941058941058944</c:v>
                </c:pt>
                <c:pt idx="60">
                  <c:v>0.59940059940059942</c:v>
                </c:pt>
                <c:pt idx="61">
                  <c:v>0.60939060939060941</c:v>
                </c:pt>
                <c:pt idx="62">
                  <c:v>0.61938061938061939</c:v>
                </c:pt>
                <c:pt idx="63">
                  <c:v>0.62937062937062938</c:v>
                </c:pt>
                <c:pt idx="64">
                  <c:v>0.63936063936063936</c:v>
                </c:pt>
                <c:pt idx="65">
                  <c:v>0.64935064935064934</c:v>
                </c:pt>
                <c:pt idx="66">
                  <c:v>0.65934065934065933</c:v>
                </c:pt>
                <c:pt idx="67">
                  <c:v>0.66933066933066931</c:v>
                </c:pt>
                <c:pt idx="68">
                  <c:v>0.6793206793206793</c:v>
                </c:pt>
                <c:pt idx="69">
                  <c:v>0.68931068931068928</c:v>
                </c:pt>
                <c:pt idx="70">
                  <c:v>0.69930069930069927</c:v>
                </c:pt>
                <c:pt idx="71">
                  <c:v>0.70929070929070925</c:v>
                </c:pt>
                <c:pt idx="72">
                  <c:v>0.71928071928071924</c:v>
                </c:pt>
                <c:pt idx="73">
                  <c:v>0.72927072927072922</c:v>
                </c:pt>
                <c:pt idx="74">
                  <c:v>0.73926073926073921</c:v>
                </c:pt>
                <c:pt idx="75">
                  <c:v>0.7492507492507493</c:v>
                </c:pt>
                <c:pt idx="76">
                  <c:v>0.75924075924075929</c:v>
                </c:pt>
                <c:pt idx="77">
                  <c:v>0.76923076923076927</c:v>
                </c:pt>
                <c:pt idx="78">
                  <c:v>0.77922077922077926</c:v>
                </c:pt>
                <c:pt idx="79">
                  <c:v>0.78921078921078924</c:v>
                </c:pt>
                <c:pt idx="80">
                  <c:v>0.79920079920079923</c:v>
                </c:pt>
                <c:pt idx="81">
                  <c:v>0.80919080919080921</c:v>
                </c:pt>
                <c:pt idx="82">
                  <c:v>0.8191808191808192</c:v>
                </c:pt>
                <c:pt idx="83">
                  <c:v>0.82917082917082918</c:v>
                </c:pt>
                <c:pt idx="84">
                  <c:v>0.83916083916083917</c:v>
                </c:pt>
                <c:pt idx="85">
                  <c:v>0.84915084915084915</c:v>
                </c:pt>
                <c:pt idx="86">
                  <c:v>0.85914085914085914</c:v>
                </c:pt>
                <c:pt idx="87">
                  <c:v>0.86913086913086912</c:v>
                </c:pt>
                <c:pt idx="88">
                  <c:v>0.87912087912087911</c:v>
                </c:pt>
                <c:pt idx="89">
                  <c:v>0.88911088911088909</c:v>
                </c:pt>
                <c:pt idx="90">
                  <c:v>0.89910089910089908</c:v>
                </c:pt>
                <c:pt idx="91">
                  <c:v>0.90909090909090906</c:v>
                </c:pt>
                <c:pt idx="92">
                  <c:v>0.91908091908091905</c:v>
                </c:pt>
                <c:pt idx="93">
                  <c:v>0.92907092907092903</c:v>
                </c:pt>
                <c:pt idx="94">
                  <c:v>0.93906093906093902</c:v>
                </c:pt>
                <c:pt idx="95">
                  <c:v>0.949050949050949</c:v>
                </c:pt>
                <c:pt idx="96">
                  <c:v>0.9590409590409591</c:v>
                </c:pt>
                <c:pt idx="97">
                  <c:v>0.96903096903096908</c:v>
                </c:pt>
                <c:pt idx="98">
                  <c:v>0.97902097902097907</c:v>
                </c:pt>
                <c:pt idx="99">
                  <c:v>0.99900099900099903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1-4C25-AEF1-4932686DB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11071"/>
        <c:axId val="1985212319"/>
      </c:scatterChart>
      <c:valAx>
        <c:axId val="1985211071"/>
        <c:scaling>
          <c:orientation val="minMax"/>
          <c:max val="14436.146515689563"/>
          <c:min val="1861.0998557107164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5212319"/>
        <c:crosses val="autoZero"/>
        <c:crossBetween val="midCat"/>
      </c:valAx>
      <c:valAx>
        <c:axId val="1985212319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5211071"/>
        <c:crosses val="autoZero"/>
        <c:crossBetween val="midCat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1 - EMAIL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'Input variables'!$W$3:$W$22</c:f>
              <c:strCache>
                <c:ptCount val="20"/>
                <c:pt idx="0">
                  <c:v>2,01 to 3,16</c:v>
                </c:pt>
                <c:pt idx="1">
                  <c:v>3,16 to 4,31</c:v>
                </c:pt>
                <c:pt idx="2">
                  <c:v>4,31 to 5,46</c:v>
                </c:pt>
                <c:pt idx="3">
                  <c:v>5,46 to 6,61</c:v>
                </c:pt>
                <c:pt idx="4">
                  <c:v>6,61 to 7,76</c:v>
                </c:pt>
                <c:pt idx="5">
                  <c:v>7,76 to 8,91</c:v>
                </c:pt>
                <c:pt idx="6">
                  <c:v>8,91 to 10,06</c:v>
                </c:pt>
                <c:pt idx="7">
                  <c:v>10,06 to 11,21</c:v>
                </c:pt>
                <c:pt idx="8">
                  <c:v>11,21 to 12,36</c:v>
                </c:pt>
                <c:pt idx="9">
                  <c:v>12,36 to 13,51</c:v>
                </c:pt>
                <c:pt idx="10">
                  <c:v>13,51 to 14,66</c:v>
                </c:pt>
                <c:pt idx="11">
                  <c:v>14,66 to 15,81</c:v>
                </c:pt>
                <c:pt idx="12">
                  <c:v>15,81 to 16,96</c:v>
                </c:pt>
                <c:pt idx="13">
                  <c:v>16,96 to 18,11</c:v>
                </c:pt>
                <c:pt idx="14">
                  <c:v>18,11 to 19,26</c:v>
                </c:pt>
                <c:pt idx="15">
                  <c:v>19,26 to 20,41</c:v>
                </c:pt>
                <c:pt idx="16">
                  <c:v>20,41 to 21,56</c:v>
                </c:pt>
                <c:pt idx="17">
                  <c:v>21,56 to 22,71</c:v>
                </c:pt>
                <c:pt idx="18">
                  <c:v>22,71 to 23,86</c:v>
                </c:pt>
                <c:pt idx="19">
                  <c:v>23,86 to 25,01</c:v>
                </c:pt>
              </c:strCache>
            </c:strRef>
          </c:cat>
          <c:val>
            <c:numRef>
              <c:f>'Input variables'!$X$3:$X$22</c:f>
              <c:numCache>
                <c:formatCode>General</c:formatCode>
                <c:ptCount val="20"/>
                <c:pt idx="0">
                  <c:v>51</c:v>
                </c:pt>
                <c:pt idx="1">
                  <c:v>50</c:v>
                </c:pt>
                <c:pt idx="2">
                  <c:v>49</c:v>
                </c:pt>
                <c:pt idx="3">
                  <c:v>50</c:v>
                </c:pt>
                <c:pt idx="4">
                  <c:v>51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49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51</c:v>
                </c:pt>
                <c:pt idx="14">
                  <c:v>49</c:v>
                </c:pt>
                <c:pt idx="15">
                  <c:v>51</c:v>
                </c:pt>
                <c:pt idx="16">
                  <c:v>49</c:v>
                </c:pt>
                <c:pt idx="17">
                  <c:v>51</c:v>
                </c:pt>
                <c:pt idx="18">
                  <c:v>49</c:v>
                </c:pt>
                <c:pt idx="1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6-4BC7-8762-93B2A4D4E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3325391"/>
        <c:axId val="1983334127"/>
      </c:barChart>
      <c:catAx>
        <c:axId val="1983325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3334127"/>
        <c:crosses val="autoZero"/>
        <c:auto val="1"/>
        <c:lblAlgn val="ctr"/>
        <c:lblOffset val="100"/>
        <c:noMultiLvlLbl val="0"/>
      </c:catAx>
      <c:valAx>
        <c:axId val="1983334127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3325391"/>
        <c:crosses val="autoZero"/>
        <c:crossBetween val="between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2 - INTERNET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'Input variables'!$Y$3:$Y$22</c:f>
              <c:strCache>
                <c:ptCount val="20"/>
                <c:pt idx="0">
                  <c:v>4,24 to 4,58</c:v>
                </c:pt>
                <c:pt idx="1">
                  <c:v>4,58 to 4,92</c:v>
                </c:pt>
                <c:pt idx="2">
                  <c:v>4,92 to 5,26</c:v>
                </c:pt>
                <c:pt idx="3">
                  <c:v>5,26 to 5,6</c:v>
                </c:pt>
                <c:pt idx="4">
                  <c:v>5,6 to 5,94</c:v>
                </c:pt>
                <c:pt idx="5">
                  <c:v>5,94 to 6,28</c:v>
                </c:pt>
                <c:pt idx="6">
                  <c:v>6,28 to 6,62</c:v>
                </c:pt>
                <c:pt idx="7">
                  <c:v>6,62 to 6,96</c:v>
                </c:pt>
                <c:pt idx="8">
                  <c:v>6,96 to 7,3</c:v>
                </c:pt>
                <c:pt idx="9">
                  <c:v>7,3 to 7,64</c:v>
                </c:pt>
                <c:pt idx="10">
                  <c:v>7,64 to 7,98</c:v>
                </c:pt>
                <c:pt idx="11">
                  <c:v>7,98 to 8,32</c:v>
                </c:pt>
                <c:pt idx="12">
                  <c:v>8,32 to 8,66</c:v>
                </c:pt>
                <c:pt idx="13">
                  <c:v>8,66 to 9</c:v>
                </c:pt>
                <c:pt idx="14">
                  <c:v>9 to 9,34</c:v>
                </c:pt>
                <c:pt idx="15">
                  <c:v>9,34 to 9,68</c:v>
                </c:pt>
                <c:pt idx="16">
                  <c:v>9,68 to 10,02</c:v>
                </c:pt>
                <c:pt idx="17">
                  <c:v>10,02 to 10,36</c:v>
                </c:pt>
                <c:pt idx="18">
                  <c:v>10,36 to 10,7</c:v>
                </c:pt>
                <c:pt idx="19">
                  <c:v>10,7 to 11,04</c:v>
                </c:pt>
              </c:strCache>
            </c:strRef>
          </c:cat>
          <c:val>
            <c:numRef>
              <c:f>'Input variables'!$Z$3:$Z$22</c:f>
              <c:numCache>
                <c:formatCode>General</c:formatCode>
                <c:ptCount val="20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23</c:v>
                </c:pt>
                <c:pt idx="6">
                  <c:v>28</c:v>
                </c:pt>
                <c:pt idx="7">
                  <c:v>35</c:v>
                </c:pt>
                <c:pt idx="8">
                  <c:v>44</c:v>
                </c:pt>
                <c:pt idx="9">
                  <c:v>53</c:v>
                </c:pt>
                <c:pt idx="10">
                  <c:v>62</c:v>
                </c:pt>
                <c:pt idx="11">
                  <c:v>73</c:v>
                </c:pt>
                <c:pt idx="12">
                  <c:v>82</c:v>
                </c:pt>
                <c:pt idx="13">
                  <c:v>89</c:v>
                </c:pt>
                <c:pt idx="14">
                  <c:v>97</c:v>
                </c:pt>
                <c:pt idx="15">
                  <c:v>97</c:v>
                </c:pt>
                <c:pt idx="16">
                  <c:v>95</c:v>
                </c:pt>
                <c:pt idx="17">
                  <c:v>84</c:v>
                </c:pt>
                <c:pt idx="18">
                  <c:v>61</c:v>
                </c:pt>
                <c:pt idx="1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B-491D-A1FB-A8B2C6F07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3327055"/>
        <c:axId val="1983327471"/>
      </c:barChart>
      <c:catAx>
        <c:axId val="1983327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3327471"/>
        <c:crosses val="autoZero"/>
        <c:auto val="1"/>
        <c:lblAlgn val="ctr"/>
        <c:lblOffset val="100"/>
        <c:noMultiLvlLbl val="0"/>
      </c:catAx>
      <c:valAx>
        <c:axId val="1983327471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3327055"/>
        <c:crosses val="autoZero"/>
        <c:crossBetween val="between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3 - REVISTA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'Input variables'!$AA$3:$AA$22</c:f>
              <c:strCache>
                <c:ptCount val="20"/>
                <c:pt idx="0">
                  <c:v>2,068 to 2,356</c:v>
                </c:pt>
                <c:pt idx="1">
                  <c:v>2,356 to 2,644</c:v>
                </c:pt>
                <c:pt idx="2">
                  <c:v>2,644 to 2,932</c:v>
                </c:pt>
                <c:pt idx="3">
                  <c:v>2,932 to 3,22</c:v>
                </c:pt>
                <c:pt idx="4">
                  <c:v>3,22 to 3,508</c:v>
                </c:pt>
                <c:pt idx="5">
                  <c:v>3,508 to 3,796</c:v>
                </c:pt>
                <c:pt idx="6">
                  <c:v>3,796 to 4,084</c:v>
                </c:pt>
                <c:pt idx="7">
                  <c:v>4,084 to 4,372</c:v>
                </c:pt>
                <c:pt idx="8">
                  <c:v>4,372 to 4,66</c:v>
                </c:pt>
                <c:pt idx="9">
                  <c:v>4,66 to 4,948</c:v>
                </c:pt>
                <c:pt idx="10">
                  <c:v>4,948 to 5,236</c:v>
                </c:pt>
                <c:pt idx="11">
                  <c:v>5,236 to 5,524</c:v>
                </c:pt>
                <c:pt idx="12">
                  <c:v>5,524 to 5,812</c:v>
                </c:pt>
                <c:pt idx="13">
                  <c:v>5,812 to 6,1</c:v>
                </c:pt>
                <c:pt idx="14">
                  <c:v>6,1 to 6,388</c:v>
                </c:pt>
                <c:pt idx="15">
                  <c:v>6,388 to 6,676</c:v>
                </c:pt>
                <c:pt idx="16">
                  <c:v>6,676 to 6,964</c:v>
                </c:pt>
                <c:pt idx="17">
                  <c:v>6,964 to 7,252</c:v>
                </c:pt>
                <c:pt idx="18">
                  <c:v>7,252 to 7,54</c:v>
                </c:pt>
                <c:pt idx="19">
                  <c:v>7,54 to 7,828</c:v>
                </c:pt>
              </c:strCache>
            </c:strRef>
          </c:cat>
          <c:val>
            <c:numRef>
              <c:f>'Input variables'!$AB$3:$AB$22</c:f>
              <c:numCache>
                <c:formatCode>General</c:formatCode>
                <c:ptCount val="20"/>
                <c:pt idx="0">
                  <c:v>22</c:v>
                </c:pt>
                <c:pt idx="1">
                  <c:v>47</c:v>
                </c:pt>
                <c:pt idx="2">
                  <c:v>75</c:v>
                </c:pt>
                <c:pt idx="3">
                  <c:v>94</c:v>
                </c:pt>
                <c:pt idx="4">
                  <c:v>89</c:v>
                </c:pt>
                <c:pt idx="5">
                  <c:v>84</c:v>
                </c:pt>
                <c:pt idx="6">
                  <c:v>78</c:v>
                </c:pt>
                <c:pt idx="7">
                  <c:v>72</c:v>
                </c:pt>
                <c:pt idx="8">
                  <c:v>67</c:v>
                </c:pt>
                <c:pt idx="9">
                  <c:v>62</c:v>
                </c:pt>
                <c:pt idx="10">
                  <c:v>56</c:v>
                </c:pt>
                <c:pt idx="11">
                  <c:v>49</c:v>
                </c:pt>
                <c:pt idx="12">
                  <c:v>45</c:v>
                </c:pt>
                <c:pt idx="13">
                  <c:v>40</c:v>
                </c:pt>
                <c:pt idx="14">
                  <c:v>34</c:v>
                </c:pt>
                <c:pt idx="15">
                  <c:v>28</c:v>
                </c:pt>
                <c:pt idx="16">
                  <c:v>22</c:v>
                </c:pt>
                <c:pt idx="17">
                  <c:v>18</c:v>
                </c:pt>
                <c:pt idx="18">
                  <c:v>11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7-4563-915B-EFB30D29B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3331215"/>
        <c:axId val="1983323727"/>
      </c:barChart>
      <c:catAx>
        <c:axId val="1983331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3323727"/>
        <c:crosses val="autoZero"/>
        <c:auto val="1"/>
        <c:lblAlgn val="ctr"/>
        <c:lblOffset val="100"/>
        <c:noMultiLvlLbl val="0"/>
      </c:catAx>
      <c:valAx>
        <c:axId val="1983323727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3331215"/>
        <c:crosses val="autoZero"/>
        <c:crossBetween val="between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4 - RADIO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'Input variables'!$AC$3:$AC$22</c:f>
              <c:strCache>
                <c:ptCount val="20"/>
                <c:pt idx="0">
                  <c:v>2 to 2,55</c:v>
                </c:pt>
                <c:pt idx="1">
                  <c:v>2,55 to 3,1</c:v>
                </c:pt>
                <c:pt idx="2">
                  <c:v>3,1 to 3,65</c:v>
                </c:pt>
                <c:pt idx="3">
                  <c:v>3,65 to 4,2</c:v>
                </c:pt>
                <c:pt idx="4">
                  <c:v>4,2 to 4,75</c:v>
                </c:pt>
                <c:pt idx="5">
                  <c:v>4,75 to 5,3</c:v>
                </c:pt>
                <c:pt idx="6">
                  <c:v>5,3 to 5,85</c:v>
                </c:pt>
                <c:pt idx="7">
                  <c:v>5,85 to 6,4</c:v>
                </c:pt>
                <c:pt idx="8">
                  <c:v>6,4 to 6,95</c:v>
                </c:pt>
                <c:pt idx="9">
                  <c:v>6,95 to 7,5</c:v>
                </c:pt>
                <c:pt idx="10">
                  <c:v>7,5 to 8,05</c:v>
                </c:pt>
                <c:pt idx="11">
                  <c:v>8,05 to 8,6</c:v>
                </c:pt>
                <c:pt idx="12">
                  <c:v>8,6 to 9,15</c:v>
                </c:pt>
                <c:pt idx="13">
                  <c:v>9,15 to 9,7</c:v>
                </c:pt>
                <c:pt idx="14">
                  <c:v>9,7 to 10,25</c:v>
                </c:pt>
                <c:pt idx="15">
                  <c:v>10,25 to 10,8</c:v>
                </c:pt>
                <c:pt idx="16">
                  <c:v>10,8 to 11,35</c:v>
                </c:pt>
                <c:pt idx="17">
                  <c:v>11,35 to 11,9</c:v>
                </c:pt>
                <c:pt idx="18">
                  <c:v>11,9 to 12,45</c:v>
                </c:pt>
                <c:pt idx="19">
                  <c:v>12,45 to 13</c:v>
                </c:pt>
              </c:strCache>
            </c:strRef>
          </c:cat>
          <c:val>
            <c:numRef>
              <c:f>'Input variables'!$AD$3:$AD$22</c:f>
              <c:numCache>
                <c:formatCode>General</c:formatCode>
                <c:ptCount val="20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D-4615-8A1D-06D6E6609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3319567"/>
        <c:axId val="1983318735"/>
      </c:barChart>
      <c:catAx>
        <c:axId val="1983319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3318735"/>
        <c:crosses val="autoZero"/>
        <c:auto val="1"/>
        <c:lblAlgn val="ctr"/>
        <c:lblOffset val="100"/>
        <c:noMultiLvlLbl val="0"/>
      </c:catAx>
      <c:valAx>
        <c:axId val="1983318735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3319567"/>
        <c:crosses val="autoZero"/>
        <c:crossBetween val="between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5 - TV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'Input variables'!$AE$3:$AE$22</c:f>
              <c:strCache>
                <c:ptCount val="20"/>
                <c:pt idx="0">
                  <c:v>-2,01 to -1,11</c:v>
                </c:pt>
                <c:pt idx="1">
                  <c:v>-1,11 to -0,21</c:v>
                </c:pt>
                <c:pt idx="2">
                  <c:v>-0,21 to 0,69</c:v>
                </c:pt>
                <c:pt idx="3">
                  <c:v>0,69 to 1,59</c:v>
                </c:pt>
                <c:pt idx="4">
                  <c:v>1,59 to 2,49</c:v>
                </c:pt>
                <c:pt idx="5">
                  <c:v>2,49 to 3,39</c:v>
                </c:pt>
                <c:pt idx="6">
                  <c:v>3,39 to 4,29</c:v>
                </c:pt>
                <c:pt idx="7">
                  <c:v>4,29 to 5,19</c:v>
                </c:pt>
                <c:pt idx="8">
                  <c:v>5,19 to 6,09</c:v>
                </c:pt>
                <c:pt idx="9">
                  <c:v>6,09 to 6,99</c:v>
                </c:pt>
                <c:pt idx="10">
                  <c:v>6,99 to 7,89</c:v>
                </c:pt>
                <c:pt idx="11">
                  <c:v>7,89 to 8,79</c:v>
                </c:pt>
                <c:pt idx="12">
                  <c:v>8,79 to 9,69</c:v>
                </c:pt>
                <c:pt idx="13">
                  <c:v>9,69 to 10,59</c:v>
                </c:pt>
                <c:pt idx="14">
                  <c:v>10,59 to 11,49</c:v>
                </c:pt>
                <c:pt idx="15">
                  <c:v>11,49 to 12,39</c:v>
                </c:pt>
                <c:pt idx="16">
                  <c:v>12,39 to 13,29</c:v>
                </c:pt>
                <c:pt idx="17">
                  <c:v>13,29 to 14,19</c:v>
                </c:pt>
                <c:pt idx="18">
                  <c:v>14,19 to 15,09</c:v>
                </c:pt>
                <c:pt idx="19">
                  <c:v>15,09 to 15,99</c:v>
                </c:pt>
              </c:strCache>
            </c:strRef>
          </c:cat>
          <c:val>
            <c:numRef>
              <c:f>'Input variables'!$AF$3:$AF$22</c:f>
              <c:numCache>
                <c:formatCode>General</c:formatCode>
                <c:ptCount val="20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18</c:v>
                </c:pt>
                <c:pt idx="4">
                  <c:v>30</c:v>
                </c:pt>
                <c:pt idx="5">
                  <c:v>48</c:v>
                </c:pt>
                <c:pt idx="6">
                  <c:v>69</c:v>
                </c:pt>
                <c:pt idx="7">
                  <c:v>90</c:v>
                </c:pt>
                <c:pt idx="8">
                  <c:v>108</c:v>
                </c:pt>
                <c:pt idx="9">
                  <c:v>117</c:v>
                </c:pt>
                <c:pt idx="10">
                  <c:v>119</c:v>
                </c:pt>
                <c:pt idx="11">
                  <c:v>108</c:v>
                </c:pt>
                <c:pt idx="12">
                  <c:v>90</c:v>
                </c:pt>
                <c:pt idx="13">
                  <c:v>69</c:v>
                </c:pt>
                <c:pt idx="14">
                  <c:v>48</c:v>
                </c:pt>
                <c:pt idx="15">
                  <c:v>32</c:v>
                </c:pt>
                <c:pt idx="16">
                  <c:v>18</c:v>
                </c:pt>
                <c:pt idx="17">
                  <c:v>10</c:v>
                </c:pt>
                <c:pt idx="18">
                  <c:v>5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0-432A-ACAD-BA4B713B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83320815"/>
        <c:axId val="1983322063"/>
      </c:barChart>
      <c:catAx>
        <c:axId val="1983320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3322063"/>
        <c:crosses val="autoZero"/>
        <c:auto val="1"/>
        <c:lblAlgn val="ctr"/>
        <c:lblOffset val="100"/>
        <c:noMultiLvlLbl val="0"/>
      </c:catAx>
      <c:valAx>
        <c:axId val="1983322063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3320815"/>
        <c:crosses val="autoZero"/>
        <c:crossBetween val="between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1 - EMAIL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'Input variables'!$W$27:$W$126</c:f>
              <c:numCache>
                <c:formatCode>General</c:formatCode>
                <c:ptCount val="100"/>
                <c:pt idx="0">
                  <c:v>2.0162275927662852</c:v>
                </c:pt>
                <c:pt idx="1">
                  <c:v>2.2233078716993333</c:v>
                </c:pt>
                <c:pt idx="2">
                  <c:v>2.4453724296092987</c:v>
                </c:pt>
                <c:pt idx="3">
                  <c:v>2.6734248672723773</c:v>
                </c:pt>
                <c:pt idx="4">
                  <c:v>2.9092790808677673</c:v>
                </c:pt>
                <c:pt idx="5">
                  <c:v>3.1280499309301373</c:v>
                </c:pt>
                <c:pt idx="6">
                  <c:v>3.3718715040683747</c:v>
                </c:pt>
                <c:pt idx="7">
                  <c:v>3.5975333434343337</c:v>
                </c:pt>
                <c:pt idx="8">
                  <c:v>3.8192533979415892</c:v>
                </c:pt>
                <c:pt idx="9">
                  <c:v>4.0585564402341845</c:v>
                </c:pt>
                <c:pt idx="10">
                  <c:v>4.28597670340538</c:v>
                </c:pt>
                <c:pt idx="11">
                  <c:v>4.5220534864664081</c:v>
                </c:pt>
                <c:pt idx="12">
                  <c:v>4.7418384785652163</c:v>
                </c:pt>
                <c:pt idx="13">
                  <c:v>4.9688835519552228</c:v>
                </c:pt>
                <c:pt idx="14">
                  <c:v>5.2144277737140659</c:v>
                </c:pt>
                <c:pt idx="15">
                  <c:v>5.4292523862123492</c:v>
                </c:pt>
                <c:pt idx="16">
                  <c:v>5.6644225063323974</c:v>
                </c:pt>
                <c:pt idx="17">
                  <c:v>5.9068842934370043</c:v>
                </c:pt>
                <c:pt idx="18">
                  <c:v>6.1196363360881803</c:v>
                </c:pt>
                <c:pt idx="19">
                  <c:v>6.3549440075159076</c:v>
                </c:pt>
                <c:pt idx="20">
                  <c:v>6.5848155398368835</c:v>
                </c:pt>
                <c:pt idx="21">
                  <c:v>6.8187085670232772</c:v>
                </c:pt>
                <c:pt idx="22">
                  <c:v>7.0491858866214754</c:v>
                </c:pt>
                <c:pt idx="23">
                  <c:v>7.2849891902208332</c:v>
                </c:pt>
                <c:pt idx="24">
                  <c:v>7.499749512672425</c:v>
                </c:pt>
                <c:pt idx="25">
                  <c:v>7.7443031500577924</c:v>
                </c:pt>
                <c:pt idx="26">
                  <c:v>7.9633317964076991</c:v>
                </c:pt>
                <c:pt idx="27">
                  <c:v>8.1897956491708754</c:v>
                </c:pt>
                <c:pt idx="28">
                  <c:v>8.4393782334327696</c:v>
                </c:pt>
                <c:pt idx="29">
                  <c:v>8.6679116948842996</c:v>
                </c:pt>
                <c:pt idx="30">
                  <c:v>8.8845013115406033</c:v>
                </c:pt>
                <c:pt idx="31">
                  <c:v>9.1278179742097851</c:v>
                </c:pt>
                <c:pt idx="32">
                  <c:v>9.3407773857116698</c:v>
                </c:pt>
                <c:pt idx="33">
                  <c:v>9.5755747288465507</c:v>
                </c:pt>
                <c:pt idx="34">
                  <c:v>9.8167935531139374</c:v>
                </c:pt>
                <c:pt idx="35">
                  <c:v>10.027057630181313</c:v>
                </c:pt>
                <c:pt idx="36">
                  <c:v>10.266444528102875</c:v>
                </c:pt>
                <c:pt idx="37">
                  <c:v>10.489629654288292</c:v>
                </c:pt>
                <c:pt idx="38">
                  <c:v>10.734479517221452</c:v>
                </c:pt>
                <c:pt idx="39">
                  <c:v>10.949562956929206</c:v>
                </c:pt>
                <c:pt idx="40">
                  <c:v>11.185799094200135</c:v>
                </c:pt>
                <c:pt idx="41">
                  <c:v>11.411210748553275</c:v>
                </c:pt>
                <c:pt idx="42">
                  <c:v>11.639502074956892</c:v>
                </c:pt>
                <c:pt idx="43">
                  <c:v>11.872929169297217</c:v>
                </c:pt>
                <c:pt idx="44">
                  <c:v>12.101682392597198</c:v>
                </c:pt>
                <c:pt idx="45">
                  <c:v>12.331749163985252</c:v>
                </c:pt>
                <c:pt idx="46">
                  <c:v>12.572975972414017</c:v>
                </c:pt>
                <c:pt idx="47">
                  <c:v>12.793798357129097</c:v>
                </c:pt>
                <c:pt idx="48">
                  <c:v>13.038857606887817</c:v>
                </c:pt>
                <c:pt idx="49">
                  <c:v>13.267472927927971</c:v>
                </c:pt>
                <c:pt idx="50">
                  <c:v>13.488687830686569</c:v>
                </c:pt>
                <c:pt idx="51">
                  <c:v>13.716359485268592</c:v>
                </c:pt>
                <c:pt idx="52">
                  <c:v>13.94050979566574</c:v>
                </c:pt>
                <c:pt idx="53">
                  <c:v>14.178906942725181</c:v>
                </c:pt>
                <c:pt idx="54">
                  <c:v>14.402596145868301</c:v>
                </c:pt>
                <c:pt idx="55">
                  <c:v>14.640848393559455</c:v>
                </c:pt>
                <c:pt idx="56">
                  <c:v>14.863745892524719</c:v>
                </c:pt>
                <c:pt idx="57">
                  <c:v>15.097372985720634</c:v>
                </c:pt>
                <c:pt idx="58">
                  <c:v>15.335331289052963</c:v>
                </c:pt>
                <c:pt idx="59">
                  <c:v>15.552047796845438</c:v>
                </c:pt>
                <c:pt idx="60">
                  <c:v>15.784094706058502</c:v>
                </c:pt>
                <c:pt idx="61">
                  <c:v>16.021489709258081</c:v>
                </c:pt>
                <c:pt idx="62">
                  <c:v>16.254695506334304</c:v>
                </c:pt>
                <c:pt idx="63">
                  <c:v>16.476787284970285</c:v>
                </c:pt>
                <c:pt idx="64">
                  <c:v>16.699006919860842</c:v>
                </c:pt>
                <c:pt idx="65">
                  <c:v>16.928672640681267</c:v>
                </c:pt>
                <c:pt idx="66">
                  <c:v>17.179162918806078</c:v>
                </c:pt>
                <c:pt idx="67">
                  <c:v>17.403443322777747</c:v>
                </c:pt>
                <c:pt idx="68">
                  <c:v>17.639355092525484</c:v>
                </c:pt>
                <c:pt idx="69">
                  <c:v>17.855634182333947</c:v>
                </c:pt>
                <c:pt idx="70">
                  <c:v>18.097379522562029</c:v>
                </c:pt>
                <c:pt idx="71">
                  <c:v>18.316439250111582</c:v>
                </c:pt>
                <c:pt idx="72">
                  <c:v>18.542933657646177</c:v>
                </c:pt>
                <c:pt idx="73">
                  <c:v>18.771883611559868</c:v>
                </c:pt>
                <c:pt idx="74">
                  <c:v>19.002663188695909</c:v>
                </c:pt>
                <c:pt idx="75">
                  <c:v>19.23074528181553</c:v>
                </c:pt>
                <c:pt idx="76">
                  <c:v>19.47295892381668</c:v>
                </c:pt>
                <c:pt idx="77">
                  <c:v>19.706227080702782</c:v>
                </c:pt>
                <c:pt idx="78">
                  <c:v>19.927503663301469</c:v>
                </c:pt>
                <c:pt idx="79">
                  <c:v>20.157378507733345</c:v>
                </c:pt>
                <c:pt idx="80">
                  <c:v>20.399569074630737</c:v>
                </c:pt>
                <c:pt idx="81">
                  <c:v>20.620267617106439</c:v>
                </c:pt>
                <c:pt idx="82">
                  <c:v>20.840062567472458</c:v>
                </c:pt>
                <c:pt idx="83">
                  <c:v>21.068902892708778</c:v>
                </c:pt>
                <c:pt idx="84">
                  <c:v>21.303324168682099</c:v>
                </c:pt>
                <c:pt idx="85">
                  <c:v>21.534905123114587</c:v>
                </c:pt>
                <c:pt idx="86">
                  <c:v>21.770673397302627</c:v>
                </c:pt>
                <c:pt idx="87">
                  <c:v>22.002929276585579</c:v>
                </c:pt>
                <c:pt idx="88">
                  <c:v>22.232706139564513</c:v>
                </c:pt>
                <c:pt idx="89">
                  <c:v>22.449836376070976</c:v>
                </c:pt>
                <c:pt idx="90">
                  <c:v>22.685341523885725</c:v>
                </c:pt>
                <c:pt idx="91">
                  <c:v>22.912615374207498</c:v>
                </c:pt>
                <c:pt idx="92">
                  <c:v>23.154618795871734</c:v>
                </c:pt>
                <c:pt idx="93">
                  <c:v>23.378055028319359</c:v>
                </c:pt>
                <c:pt idx="94">
                  <c:v>23.612244193315505</c:v>
                </c:pt>
                <c:pt idx="95">
                  <c:v>23.83916577541828</c:v>
                </c:pt>
                <c:pt idx="96">
                  <c:v>24.057887821197511</c:v>
                </c:pt>
                <c:pt idx="97">
                  <c:v>24.288351607203484</c:v>
                </c:pt>
                <c:pt idx="98">
                  <c:v>24.538230526685716</c:v>
                </c:pt>
                <c:pt idx="99">
                  <c:v>24.987760774135587</c:v>
                </c:pt>
              </c:numCache>
            </c:numRef>
          </c:xVal>
          <c:yVal>
            <c:numRef>
              <c:f>'Input variables'!$X$27:$X$126</c:f>
              <c:numCache>
                <c:formatCode>General</c:formatCode>
                <c:ptCount val="100"/>
                <c:pt idx="0">
                  <c:v>9.99000999000999E-4</c:v>
                </c:pt>
                <c:pt idx="1">
                  <c:v>9.99000999000999E-3</c:v>
                </c:pt>
                <c:pt idx="2">
                  <c:v>1.998001998001998E-2</c:v>
                </c:pt>
                <c:pt idx="3">
                  <c:v>2.9970029970029972E-2</c:v>
                </c:pt>
                <c:pt idx="4">
                  <c:v>3.996003996003996E-2</c:v>
                </c:pt>
                <c:pt idx="5">
                  <c:v>4.9950049950049952E-2</c:v>
                </c:pt>
                <c:pt idx="6">
                  <c:v>5.9940059940059943E-2</c:v>
                </c:pt>
                <c:pt idx="7">
                  <c:v>6.9930069930069935E-2</c:v>
                </c:pt>
                <c:pt idx="8">
                  <c:v>7.992007992007992E-2</c:v>
                </c:pt>
                <c:pt idx="9">
                  <c:v>8.9910089910089905E-2</c:v>
                </c:pt>
                <c:pt idx="10">
                  <c:v>9.9900099900099903E-2</c:v>
                </c:pt>
                <c:pt idx="11">
                  <c:v>0.10989010989010989</c:v>
                </c:pt>
                <c:pt idx="12">
                  <c:v>0.11988011988011989</c:v>
                </c:pt>
                <c:pt idx="13">
                  <c:v>0.12987012987012986</c:v>
                </c:pt>
                <c:pt idx="14">
                  <c:v>0.13986013986013987</c:v>
                </c:pt>
                <c:pt idx="15">
                  <c:v>0.14985014985014986</c:v>
                </c:pt>
                <c:pt idx="16">
                  <c:v>0.15984015984015984</c:v>
                </c:pt>
                <c:pt idx="17">
                  <c:v>0.16983016983016982</c:v>
                </c:pt>
                <c:pt idx="18">
                  <c:v>0.17982017982017981</c:v>
                </c:pt>
                <c:pt idx="19">
                  <c:v>0.18981018981018982</c:v>
                </c:pt>
                <c:pt idx="20">
                  <c:v>0.19980019980019981</c:v>
                </c:pt>
                <c:pt idx="21">
                  <c:v>0.20979020979020979</c:v>
                </c:pt>
                <c:pt idx="22">
                  <c:v>0.21978021978021978</c:v>
                </c:pt>
                <c:pt idx="23">
                  <c:v>0.22977022977022976</c:v>
                </c:pt>
                <c:pt idx="24">
                  <c:v>0.23976023976023977</c:v>
                </c:pt>
                <c:pt idx="25">
                  <c:v>0.24975024975024976</c:v>
                </c:pt>
                <c:pt idx="26">
                  <c:v>0.25974025974025972</c:v>
                </c:pt>
                <c:pt idx="27">
                  <c:v>0.26973026973026976</c:v>
                </c:pt>
                <c:pt idx="28">
                  <c:v>0.27972027972027974</c:v>
                </c:pt>
                <c:pt idx="29">
                  <c:v>0.28971028971028973</c:v>
                </c:pt>
                <c:pt idx="30">
                  <c:v>0.29970029970029971</c:v>
                </c:pt>
                <c:pt idx="31">
                  <c:v>0.3096903096903097</c:v>
                </c:pt>
                <c:pt idx="32">
                  <c:v>0.31968031968031968</c:v>
                </c:pt>
                <c:pt idx="33">
                  <c:v>0.32967032967032966</c:v>
                </c:pt>
                <c:pt idx="34">
                  <c:v>0.33966033966033965</c:v>
                </c:pt>
                <c:pt idx="35">
                  <c:v>0.34965034965034963</c:v>
                </c:pt>
                <c:pt idx="36">
                  <c:v>0.35964035964035962</c:v>
                </c:pt>
                <c:pt idx="37">
                  <c:v>0.3696303696303696</c:v>
                </c:pt>
                <c:pt idx="38">
                  <c:v>0.37962037962037964</c:v>
                </c:pt>
                <c:pt idx="39">
                  <c:v>0.38961038961038963</c:v>
                </c:pt>
                <c:pt idx="40">
                  <c:v>0.39960039960039961</c:v>
                </c:pt>
                <c:pt idx="41">
                  <c:v>0.4095904095904096</c:v>
                </c:pt>
                <c:pt idx="42">
                  <c:v>0.41958041958041958</c:v>
                </c:pt>
                <c:pt idx="43">
                  <c:v>0.42957042957042957</c:v>
                </c:pt>
                <c:pt idx="44">
                  <c:v>0.43956043956043955</c:v>
                </c:pt>
                <c:pt idx="45">
                  <c:v>0.44955044955044954</c:v>
                </c:pt>
                <c:pt idx="46">
                  <c:v>0.45954045954045952</c:v>
                </c:pt>
                <c:pt idx="47">
                  <c:v>0.46953046953046951</c:v>
                </c:pt>
                <c:pt idx="48">
                  <c:v>0.47952047952047955</c:v>
                </c:pt>
                <c:pt idx="49">
                  <c:v>0.48951048951048953</c:v>
                </c:pt>
                <c:pt idx="50">
                  <c:v>0.49950049950049952</c:v>
                </c:pt>
                <c:pt idx="51">
                  <c:v>0.50949050949050945</c:v>
                </c:pt>
                <c:pt idx="52">
                  <c:v>0.51948051948051943</c:v>
                </c:pt>
                <c:pt idx="53">
                  <c:v>0.52947052947052942</c:v>
                </c:pt>
                <c:pt idx="54">
                  <c:v>0.53946053946053951</c:v>
                </c:pt>
                <c:pt idx="55">
                  <c:v>0.5494505494505495</c:v>
                </c:pt>
                <c:pt idx="56">
                  <c:v>0.55944055944055948</c:v>
                </c:pt>
                <c:pt idx="57">
                  <c:v>0.56943056943056947</c:v>
                </c:pt>
                <c:pt idx="58">
                  <c:v>0.57942057942057945</c:v>
                </c:pt>
                <c:pt idx="59">
                  <c:v>0.58941058941058944</c:v>
                </c:pt>
                <c:pt idx="60">
                  <c:v>0.59940059940059942</c:v>
                </c:pt>
                <c:pt idx="61">
                  <c:v>0.60939060939060941</c:v>
                </c:pt>
                <c:pt idx="62">
                  <c:v>0.61938061938061939</c:v>
                </c:pt>
                <c:pt idx="63">
                  <c:v>0.62937062937062938</c:v>
                </c:pt>
                <c:pt idx="64">
                  <c:v>0.63936063936063936</c:v>
                </c:pt>
                <c:pt idx="65">
                  <c:v>0.64935064935064934</c:v>
                </c:pt>
                <c:pt idx="66">
                  <c:v>0.65934065934065933</c:v>
                </c:pt>
                <c:pt idx="67">
                  <c:v>0.66933066933066931</c:v>
                </c:pt>
                <c:pt idx="68">
                  <c:v>0.6793206793206793</c:v>
                </c:pt>
                <c:pt idx="69">
                  <c:v>0.68931068931068928</c:v>
                </c:pt>
                <c:pt idx="70">
                  <c:v>0.69930069930069927</c:v>
                </c:pt>
                <c:pt idx="71">
                  <c:v>0.70929070929070925</c:v>
                </c:pt>
                <c:pt idx="72">
                  <c:v>0.71928071928071924</c:v>
                </c:pt>
                <c:pt idx="73">
                  <c:v>0.72927072927072922</c:v>
                </c:pt>
                <c:pt idx="74">
                  <c:v>0.73926073926073921</c:v>
                </c:pt>
                <c:pt idx="75">
                  <c:v>0.7492507492507493</c:v>
                </c:pt>
                <c:pt idx="76">
                  <c:v>0.75924075924075929</c:v>
                </c:pt>
                <c:pt idx="77">
                  <c:v>0.76923076923076927</c:v>
                </c:pt>
                <c:pt idx="78">
                  <c:v>0.77922077922077926</c:v>
                </c:pt>
                <c:pt idx="79">
                  <c:v>0.78921078921078924</c:v>
                </c:pt>
                <c:pt idx="80">
                  <c:v>0.79920079920079923</c:v>
                </c:pt>
                <c:pt idx="81">
                  <c:v>0.80919080919080921</c:v>
                </c:pt>
                <c:pt idx="82">
                  <c:v>0.8191808191808192</c:v>
                </c:pt>
                <c:pt idx="83">
                  <c:v>0.82917082917082918</c:v>
                </c:pt>
                <c:pt idx="84">
                  <c:v>0.83916083916083917</c:v>
                </c:pt>
                <c:pt idx="85">
                  <c:v>0.84915084915084915</c:v>
                </c:pt>
                <c:pt idx="86">
                  <c:v>0.85914085914085914</c:v>
                </c:pt>
                <c:pt idx="87">
                  <c:v>0.86913086913086912</c:v>
                </c:pt>
                <c:pt idx="88">
                  <c:v>0.87912087912087911</c:v>
                </c:pt>
                <c:pt idx="89">
                  <c:v>0.88911088911088909</c:v>
                </c:pt>
                <c:pt idx="90">
                  <c:v>0.89910089910089908</c:v>
                </c:pt>
                <c:pt idx="91">
                  <c:v>0.90909090909090906</c:v>
                </c:pt>
                <c:pt idx="92">
                  <c:v>0.91908091908091905</c:v>
                </c:pt>
                <c:pt idx="93">
                  <c:v>0.92907092907092903</c:v>
                </c:pt>
                <c:pt idx="94">
                  <c:v>0.93906093906093902</c:v>
                </c:pt>
                <c:pt idx="95">
                  <c:v>0.949050949050949</c:v>
                </c:pt>
                <c:pt idx="96">
                  <c:v>0.9590409590409591</c:v>
                </c:pt>
                <c:pt idx="97">
                  <c:v>0.96903096903096908</c:v>
                </c:pt>
                <c:pt idx="98">
                  <c:v>0.97902097902097907</c:v>
                </c:pt>
                <c:pt idx="99">
                  <c:v>0.99900099900099903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16-4570-986D-37E82DF6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328719"/>
        <c:axId val="1983322479"/>
      </c:scatterChart>
      <c:valAx>
        <c:axId val="1983328719"/>
        <c:scaling>
          <c:orientation val="minMax"/>
          <c:max val="24.987760774135587"/>
          <c:min val="2.0162275927662852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3322479"/>
        <c:crosses val="autoZero"/>
        <c:crossBetween val="midCat"/>
      </c:valAx>
      <c:valAx>
        <c:axId val="1983322479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3328719"/>
        <c:crosses val="autoZero"/>
        <c:crossBetween val="midCat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2 - INTERNET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'Input variables'!$Y$27:$Y$126</c:f>
              <c:numCache>
                <c:formatCode>General</c:formatCode>
                <c:ptCount val="100"/>
                <c:pt idx="0">
                  <c:v>3.102101248880508</c:v>
                </c:pt>
                <c:pt idx="1">
                  <c:v>4.4383430522913363</c:v>
                </c:pt>
                <c:pt idx="2">
                  <c:v>5.0008659609197146</c:v>
                </c:pt>
                <c:pt idx="3">
                  <c:v>5.3582324491894457</c:v>
                </c:pt>
                <c:pt idx="4">
                  <c:v>5.62643675990887</c:v>
                </c:pt>
                <c:pt idx="5">
                  <c:v>5.8339142324014421</c:v>
                </c:pt>
                <c:pt idx="6">
                  <c:v>5.9999375081128958</c:v>
                </c:pt>
                <c:pt idx="7">
                  <c:v>6.1668406061231789</c:v>
                </c:pt>
                <c:pt idx="8">
                  <c:v>6.3115222398339741</c:v>
                </c:pt>
                <c:pt idx="9">
                  <c:v>6.4298859842264644</c:v>
                </c:pt>
                <c:pt idx="10">
                  <c:v>6.5479149160082937</c:v>
                </c:pt>
                <c:pt idx="11">
                  <c:v>6.6617318477940461</c:v>
                </c:pt>
                <c:pt idx="12">
                  <c:v>6.7609788066417265</c:v>
                </c:pt>
                <c:pt idx="13">
                  <c:v>6.8510694018014489</c:v>
                </c:pt>
                <c:pt idx="14">
                  <c:v>6.9411352881209281</c:v>
                </c:pt>
                <c:pt idx="15">
                  <c:v>7.0290803269015569</c:v>
                </c:pt>
                <c:pt idx="16">
                  <c:v>7.1122157549813458</c:v>
                </c:pt>
                <c:pt idx="17">
                  <c:v>7.1835600628807414</c:v>
                </c:pt>
                <c:pt idx="18">
                  <c:v>7.2616009452950241</c:v>
                </c:pt>
                <c:pt idx="19">
                  <c:v>7.3285671551224354</c:v>
                </c:pt>
                <c:pt idx="20">
                  <c:v>7.398275179949672</c:v>
                </c:pt>
                <c:pt idx="21">
                  <c:v>7.4606011424079881</c:v>
                </c:pt>
                <c:pt idx="22">
                  <c:v>7.5254692883111272</c:v>
                </c:pt>
                <c:pt idx="23">
                  <c:v>7.5883670942852461</c:v>
                </c:pt>
                <c:pt idx="24">
                  <c:v>7.6489070270359472</c:v>
                </c:pt>
                <c:pt idx="25">
                  <c:v>7.7074995726109057</c:v>
                </c:pt>
                <c:pt idx="26">
                  <c:v>7.7613138252832377</c:v>
                </c:pt>
                <c:pt idx="27">
                  <c:v>7.8174001871206436</c:v>
                </c:pt>
                <c:pt idx="28">
                  <c:v>7.869925127248286</c:v>
                </c:pt>
                <c:pt idx="29">
                  <c:v>7.9238718169833744</c:v>
                </c:pt>
                <c:pt idx="30">
                  <c:v>7.9770478822321884</c:v>
                </c:pt>
                <c:pt idx="31">
                  <c:v>8.0226555023913626</c:v>
                </c:pt>
                <c:pt idx="32">
                  <c:v>8.0718825767176661</c:v>
                </c:pt>
                <c:pt idx="33">
                  <c:v>8.1214900034409059</c:v>
                </c:pt>
                <c:pt idx="34">
                  <c:v>8.1672115912558247</c:v>
                </c:pt>
                <c:pt idx="35">
                  <c:v>8.2170186606356435</c:v>
                </c:pt>
                <c:pt idx="36">
                  <c:v>8.2616989673829853</c:v>
                </c:pt>
                <c:pt idx="37">
                  <c:v>8.3043120293561916</c:v>
                </c:pt>
                <c:pt idx="38">
                  <c:v>8.3503139047660682</c:v>
                </c:pt>
                <c:pt idx="39">
                  <c:v>8.3940275755011271</c:v>
                </c:pt>
                <c:pt idx="40">
                  <c:v>8.4336491239593023</c:v>
                </c:pt>
                <c:pt idx="41">
                  <c:v>8.4775832114920675</c:v>
                </c:pt>
                <c:pt idx="42">
                  <c:v>8.5184359630809237</c:v>
                </c:pt>
                <c:pt idx="43">
                  <c:v>8.5601224295415772</c:v>
                </c:pt>
                <c:pt idx="44">
                  <c:v>8.5990156760292624</c:v>
                </c:pt>
                <c:pt idx="45">
                  <c:v>8.6416907699902374</c:v>
                </c:pt>
                <c:pt idx="46">
                  <c:v>8.6778124368242953</c:v>
                </c:pt>
                <c:pt idx="47">
                  <c:v>8.7176806825753275</c:v>
                </c:pt>
                <c:pt idx="48">
                  <c:v>8.7570166660384228</c:v>
                </c:pt>
                <c:pt idx="49">
                  <c:v>8.7953012403370483</c:v>
                </c:pt>
                <c:pt idx="50">
                  <c:v>8.8323281000281373</c:v>
                </c:pt>
                <c:pt idx="51">
                  <c:v>8.8716985409855624</c:v>
                </c:pt>
                <c:pt idx="52">
                  <c:v>8.9068197985668363</c:v>
                </c:pt>
                <c:pt idx="53">
                  <c:v>8.944822786364405</c:v>
                </c:pt>
                <c:pt idx="54">
                  <c:v>8.9823735323822707</c:v>
                </c:pt>
                <c:pt idx="55">
                  <c:v>9.0167855880805199</c:v>
                </c:pt>
                <c:pt idx="56">
                  <c:v>9.0528751208832023</c:v>
                </c:pt>
                <c:pt idx="57">
                  <c:v>9.0907121606567181</c:v>
                </c:pt>
                <c:pt idx="58">
                  <c:v>9.1272641340467739</c:v>
                </c:pt>
                <c:pt idx="59">
                  <c:v>9.1616871641243858</c:v>
                </c:pt>
                <c:pt idx="60">
                  <c:v>9.1954409252528269</c:v>
                </c:pt>
                <c:pt idx="61">
                  <c:v>9.2336946075674309</c:v>
                </c:pt>
                <c:pt idx="62">
                  <c:v>9.2670892371291114</c:v>
                </c:pt>
                <c:pt idx="63">
                  <c:v>9.301607645342072</c:v>
                </c:pt>
                <c:pt idx="64">
                  <c:v>9.3363664193734994</c:v>
                </c:pt>
                <c:pt idx="65">
                  <c:v>9.3730273913469073</c:v>
                </c:pt>
                <c:pt idx="66">
                  <c:v>9.40780008737784</c:v>
                </c:pt>
                <c:pt idx="67">
                  <c:v>9.4418687752420372</c:v>
                </c:pt>
                <c:pt idx="68">
                  <c:v>9.4773164406456285</c:v>
                </c:pt>
                <c:pt idx="69">
                  <c:v>9.5117575842188788</c:v>
                </c:pt>
                <c:pt idx="70">
                  <c:v>9.5455704903307854</c:v>
                </c:pt>
                <c:pt idx="71">
                  <c:v>9.5784910283668516</c:v>
                </c:pt>
                <c:pt idx="72">
                  <c:v>9.6147164410506036</c:v>
                </c:pt>
                <c:pt idx="73">
                  <c:v>9.6480533171711418</c:v>
                </c:pt>
                <c:pt idx="74">
                  <c:v>9.682634854510539</c:v>
                </c:pt>
                <c:pt idx="75">
                  <c:v>9.7174394529644044</c:v>
                </c:pt>
                <c:pt idx="76">
                  <c:v>9.7553884460508957</c:v>
                </c:pt>
                <c:pt idx="77">
                  <c:v>9.7874704825387369</c:v>
                </c:pt>
                <c:pt idx="78">
                  <c:v>9.8256963862101045</c:v>
                </c:pt>
                <c:pt idx="79">
                  <c:v>9.8592076885428472</c:v>
                </c:pt>
                <c:pt idx="80">
                  <c:v>9.897665838272399</c:v>
                </c:pt>
                <c:pt idx="81">
                  <c:v>9.9311051369259431</c:v>
                </c:pt>
                <c:pt idx="82">
                  <c:v>9.9704474317778882</c:v>
                </c:pt>
                <c:pt idx="83">
                  <c:v>10.004176593611621</c:v>
                </c:pt>
                <c:pt idx="84">
                  <c:v>10.043750555732023</c:v>
                </c:pt>
                <c:pt idx="85">
                  <c:v>10.081151788720925</c:v>
                </c:pt>
                <c:pt idx="86">
                  <c:v>10.121121949224019</c:v>
                </c:pt>
                <c:pt idx="87">
                  <c:v>10.158729964363085</c:v>
                </c:pt>
                <c:pt idx="88">
                  <c:v>10.198858145862351</c:v>
                </c:pt>
                <c:pt idx="89">
                  <c:v>10.239718497074804</c:v>
                </c:pt>
                <c:pt idx="90">
                  <c:v>10.282922785554758</c:v>
                </c:pt>
                <c:pt idx="91">
                  <c:v>10.327772661595553</c:v>
                </c:pt>
                <c:pt idx="92">
                  <c:v>10.371683047055043</c:v>
                </c:pt>
                <c:pt idx="93">
                  <c:v>10.417143169968876</c:v>
                </c:pt>
                <c:pt idx="94">
                  <c:v>10.467525910029323</c:v>
                </c:pt>
                <c:pt idx="95">
                  <c:v>10.520047181863141</c:v>
                </c:pt>
                <c:pt idx="96">
                  <c:v>10.574214570380697</c:v>
                </c:pt>
                <c:pt idx="97">
                  <c:v>10.638021112307348</c:v>
                </c:pt>
                <c:pt idx="98">
                  <c:v>10.710473312794715</c:v>
                </c:pt>
                <c:pt idx="99">
                  <c:v>10.967721009819366</c:v>
                </c:pt>
              </c:numCache>
            </c:numRef>
          </c:xVal>
          <c:yVal>
            <c:numRef>
              <c:f>'Input variables'!$Z$27:$Z$126</c:f>
              <c:numCache>
                <c:formatCode>General</c:formatCode>
                <c:ptCount val="100"/>
                <c:pt idx="0">
                  <c:v>9.99000999000999E-4</c:v>
                </c:pt>
                <c:pt idx="1">
                  <c:v>9.99000999000999E-3</c:v>
                </c:pt>
                <c:pt idx="2">
                  <c:v>1.998001998001998E-2</c:v>
                </c:pt>
                <c:pt idx="3">
                  <c:v>2.9970029970029972E-2</c:v>
                </c:pt>
                <c:pt idx="4">
                  <c:v>3.996003996003996E-2</c:v>
                </c:pt>
                <c:pt idx="5">
                  <c:v>4.9950049950049952E-2</c:v>
                </c:pt>
                <c:pt idx="6">
                  <c:v>5.9940059940059943E-2</c:v>
                </c:pt>
                <c:pt idx="7">
                  <c:v>6.9930069930069935E-2</c:v>
                </c:pt>
                <c:pt idx="8">
                  <c:v>7.992007992007992E-2</c:v>
                </c:pt>
                <c:pt idx="9">
                  <c:v>8.9910089910089905E-2</c:v>
                </c:pt>
                <c:pt idx="10">
                  <c:v>9.9900099900099903E-2</c:v>
                </c:pt>
                <c:pt idx="11">
                  <c:v>0.10989010989010989</c:v>
                </c:pt>
                <c:pt idx="12">
                  <c:v>0.11988011988011989</c:v>
                </c:pt>
                <c:pt idx="13">
                  <c:v>0.12987012987012986</c:v>
                </c:pt>
                <c:pt idx="14">
                  <c:v>0.13986013986013987</c:v>
                </c:pt>
                <c:pt idx="15">
                  <c:v>0.14985014985014986</c:v>
                </c:pt>
                <c:pt idx="16">
                  <c:v>0.15984015984015984</c:v>
                </c:pt>
                <c:pt idx="17">
                  <c:v>0.16983016983016982</c:v>
                </c:pt>
                <c:pt idx="18">
                  <c:v>0.17982017982017981</c:v>
                </c:pt>
                <c:pt idx="19">
                  <c:v>0.18981018981018982</c:v>
                </c:pt>
                <c:pt idx="20">
                  <c:v>0.19980019980019981</c:v>
                </c:pt>
                <c:pt idx="21">
                  <c:v>0.20979020979020979</c:v>
                </c:pt>
                <c:pt idx="22">
                  <c:v>0.21978021978021978</c:v>
                </c:pt>
                <c:pt idx="23">
                  <c:v>0.22977022977022976</c:v>
                </c:pt>
                <c:pt idx="24">
                  <c:v>0.23976023976023977</c:v>
                </c:pt>
                <c:pt idx="25">
                  <c:v>0.24975024975024976</c:v>
                </c:pt>
                <c:pt idx="26">
                  <c:v>0.25974025974025972</c:v>
                </c:pt>
                <c:pt idx="27">
                  <c:v>0.26973026973026976</c:v>
                </c:pt>
                <c:pt idx="28">
                  <c:v>0.27972027972027974</c:v>
                </c:pt>
                <c:pt idx="29">
                  <c:v>0.28971028971028973</c:v>
                </c:pt>
                <c:pt idx="30">
                  <c:v>0.29970029970029971</c:v>
                </c:pt>
                <c:pt idx="31">
                  <c:v>0.3096903096903097</c:v>
                </c:pt>
                <c:pt idx="32">
                  <c:v>0.31968031968031968</c:v>
                </c:pt>
                <c:pt idx="33">
                  <c:v>0.32967032967032966</c:v>
                </c:pt>
                <c:pt idx="34">
                  <c:v>0.33966033966033965</c:v>
                </c:pt>
                <c:pt idx="35">
                  <c:v>0.34965034965034963</c:v>
                </c:pt>
                <c:pt idx="36">
                  <c:v>0.35964035964035962</c:v>
                </c:pt>
                <c:pt idx="37">
                  <c:v>0.3696303696303696</c:v>
                </c:pt>
                <c:pt idx="38">
                  <c:v>0.37962037962037964</c:v>
                </c:pt>
                <c:pt idx="39">
                  <c:v>0.38961038961038963</c:v>
                </c:pt>
                <c:pt idx="40">
                  <c:v>0.39960039960039961</c:v>
                </c:pt>
                <c:pt idx="41">
                  <c:v>0.4095904095904096</c:v>
                </c:pt>
                <c:pt idx="42">
                  <c:v>0.41958041958041958</c:v>
                </c:pt>
                <c:pt idx="43">
                  <c:v>0.42957042957042957</c:v>
                </c:pt>
                <c:pt idx="44">
                  <c:v>0.43956043956043955</c:v>
                </c:pt>
                <c:pt idx="45">
                  <c:v>0.44955044955044954</c:v>
                </c:pt>
                <c:pt idx="46">
                  <c:v>0.45954045954045952</c:v>
                </c:pt>
                <c:pt idx="47">
                  <c:v>0.46953046953046951</c:v>
                </c:pt>
                <c:pt idx="48">
                  <c:v>0.47952047952047955</c:v>
                </c:pt>
                <c:pt idx="49">
                  <c:v>0.48951048951048953</c:v>
                </c:pt>
                <c:pt idx="50">
                  <c:v>0.49950049950049952</c:v>
                </c:pt>
                <c:pt idx="51">
                  <c:v>0.50949050949050945</c:v>
                </c:pt>
                <c:pt idx="52">
                  <c:v>0.51948051948051943</c:v>
                </c:pt>
                <c:pt idx="53">
                  <c:v>0.52947052947052942</c:v>
                </c:pt>
                <c:pt idx="54">
                  <c:v>0.53946053946053951</c:v>
                </c:pt>
                <c:pt idx="55">
                  <c:v>0.5494505494505495</c:v>
                </c:pt>
                <c:pt idx="56">
                  <c:v>0.55944055944055948</c:v>
                </c:pt>
                <c:pt idx="57">
                  <c:v>0.56943056943056947</c:v>
                </c:pt>
                <c:pt idx="58">
                  <c:v>0.57942057942057945</c:v>
                </c:pt>
                <c:pt idx="59">
                  <c:v>0.58941058941058944</c:v>
                </c:pt>
                <c:pt idx="60">
                  <c:v>0.59940059940059942</c:v>
                </c:pt>
                <c:pt idx="61">
                  <c:v>0.60939060939060941</c:v>
                </c:pt>
                <c:pt idx="62">
                  <c:v>0.61938061938061939</c:v>
                </c:pt>
                <c:pt idx="63">
                  <c:v>0.62937062937062938</c:v>
                </c:pt>
                <c:pt idx="64">
                  <c:v>0.63936063936063936</c:v>
                </c:pt>
                <c:pt idx="65">
                  <c:v>0.64935064935064934</c:v>
                </c:pt>
                <c:pt idx="66">
                  <c:v>0.65934065934065933</c:v>
                </c:pt>
                <c:pt idx="67">
                  <c:v>0.66933066933066931</c:v>
                </c:pt>
                <c:pt idx="68">
                  <c:v>0.6793206793206793</c:v>
                </c:pt>
                <c:pt idx="69">
                  <c:v>0.68931068931068928</c:v>
                </c:pt>
                <c:pt idx="70">
                  <c:v>0.69930069930069927</c:v>
                </c:pt>
                <c:pt idx="71">
                  <c:v>0.70929070929070925</c:v>
                </c:pt>
                <c:pt idx="72">
                  <c:v>0.71928071928071924</c:v>
                </c:pt>
                <c:pt idx="73">
                  <c:v>0.72927072927072922</c:v>
                </c:pt>
                <c:pt idx="74">
                  <c:v>0.73926073926073921</c:v>
                </c:pt>
                <c:pt idx="75">
                  <c:v>0.7492507492507493</c:v>
                </c:pt>
                <c:pt idx="76">
                  <c:v>0.75924075924075929</c:v>
                </c:pt>
                <c:pt idx="77">
                  <c:v>0.76923076923076927</c:v>
                </c:pt>
                <c:pt idx="78">
                  <c:v>0.77922077922077926</c:v>
                </c:pt>
                <c:pt idx="79">
                  <c:v>0.78921078921078924</c:v>
                </c:pt>
                <c:pt idx="80">
                  <c:v>0.79920079920079923</c:v>
                </c:pt>
                <c:pt idx="81">
                  <c:v>0.80919080919080921</c:v>
                </c:pt>
                <c:pt idx="82">
                  <c:v>0.8191808191808192</c:v>
                </c:pt>
                <c:pt idx="83">
                  <c:v>0.82917082917082918</c:v>
                </c:pt>
                <c:pt idx="84">
                  <c:v>0.83916083916083917</c:v>
                </c:pt>
                <c:pt idx="85">
                  <c:v>0.84915084915084915</c:v>
                </c:pt>
                <c:pt idx="86">
                  <c:v>0.85914085914085914</c:v>
                </c:pt>
                <c:pt idx="87">
                  <c:v>0.86913086913086912</c:v>
                </c:pt>
                <c:pt idx="88">
                  <c:v>0.87912087912087911</c:v>
                </c:pt>
                <c:pt idx="89">
                  <c:v>0.88911088911088909</c:v>
                </c:pt>
                <c:pt idx="90">
                  <c:v>0.89910089910089908</c:v>
                </c:pt>
                <c:pt idx="91">
                  <c:v>0.90909090909090906</c:v>
                </c:pt>
                <c:pt idx="92">
                  <c:v>0.91908091908091905</c:v>
                </c:pt>
                <c:pt idx="93">
                  <c:v>0.92907092907092903</c:v>
                </c:pt>
                <c:pt idx="94">
                  <c:v>0.93906093906093902</c:v>
                </c:pt>
                <c:pt idx="95">
                  <c:v>0.949050949050949</c:v>
                </c:pt>
                <c:pt idx="96">
                  <c:v>0.9590409590409591</c:v>
                </c:pt>
                <c:pt idx="97">
                  <c:v>0.96903096903096908</c:v>
                </c:pt>
                <c:pt idx="98">
                  <c:v>0.97902097902097907</c:v>
                </c:pt>
                <c:pt idx="99">
                  <c:v>0.99900099900099903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D-41C7-BCBB-3004C4FB5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91935"/>
        <c:axId val="1985204415"/>
      </c:scatterChart>
      <c:valAx>
        <c:axId val="1985191935"/>
        <c:scaling>
          <c:orientation val="minMax"/>
          <c:max val="10.967721009819366"/>
          <c:min val="3.102101248880508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5204415"/>
        <c:crosses val="autoZero"/>
        <c:crossBetween val="midCat"/>
      </c:valAx>
      <c:valAx>
        <c:axId val="1985204415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5191935"/>
        <c:crosses val="autoZero"/>
        <c:crossBetween val="midCat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3 - REVISTA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'Input variables'!$AA$27:$AA$126</c:f>
              <c:numCache>
                <c:formatCode>General</c:formatCode>
                <c:ptCount val="100"/>
                <c:pt idx="0">
                  <c:v>2.0684585157551796</c:v>
                </c:pt>
                <c:pt idx="1">
                  <c:v>2.2426810093399054</c:v>
                </c:pt>
                <c:pt idx="2">
                  <c:v>2.3462840247392918</c:v>
                </c:pt>
                <c:pt idx="3">
                  <c:v>2.4228518176353337</c:v>
                </c:pt>
                <c:pt idx="4">
                  <c:v>2.4876004834420717</c:v>
                </c:pt>
                <c:pt idx="5">
                  <c:v>2.5444411081933067</c:v>
                </c:pt>
                <c:pt idx="6">
                  <c:v>2.5987834076132543</c:v>
                </c:pt>
                <c:pt idx="7">
                  <c:v>2.6464701964330413</c:v>
                </c:pt>
                <c:pt idx="8">
                  <c:v>2.689078518428289</c:v>
                </c:pt>
                <c:pt idx="9">
                  <c:v>2.7345818545614566</c:v>
                </c:pt>
                <c:pt idx="10">
                  <c:v>2.7743935528765626</c:v>
                </c:pt>
                <c:pt idx="11">
                  <c:v>2.812139817585166</c:v>
                </c:pt>
                <c:pt idx="12">
                  <c:v>2.8480334539067473</c:v>
                </c:pt>
                <c:pt idx="13">
                  <c:v>2.8825697496585265</c:v>
                </c:pt>
                <c:pt idx="14">
                  <c:v>2.9144709553827708</c:v>
                </c:pt>
                <c:pt idx="15">
                  <c:v>2.9479226173102315</c:v>
                </c:pt>
                <c:pt idx="16">
                  <c:v>2.9779551602949317</c:v>
                </c:pt>
                <c:pt idx="17">
                  <c:v>3.0086542919831478</c:v>
                </c:pt>
                <c:pt idx="18">
                  <c:v>3.0373337134540854</c:v>
                </c:pt>
                <c:pt idx="19">
                  <c:v>3.0693117131665657</c:v>
                </c:pt>
                <c:pt idx="20">
                  <c:v>3.1004602692213323</c:v>
                </c:pt>
                <c:pt idx="21">
                  <c:v>3.1292161176503424</c:v>
                </c:pt>
                <c:pt idx="22">
                  <c:v>3.1618343212466371</c:v>
                </c:pt>
                <c:pt idx="23">
                  <c:v>3.1930446498693534</c:v>
                </c:pt>
                <c:pt idx="24">
                  <c:v>3.2223243460615878</c:v>
                </c:pt>
                <c:pt idx="25">
                  <c:v>3.2561542871202267</c:v>
                </c:pt>
                <c:pt idx="26">
                  <c:v>3.2861651418975422</c:v>
                </c:pt>
                <c:pt idx="27">
                  <c:v>3.319826610106122</c:v>
                </c:pt>
                <c:pt idx="28">
                  <c:v>3.3517653663087854</c:v>
                </c:pt>
                <c:pt idx="29">
                  <c:v>3.3825866773806634</c:v>
                </c:pt>
                <c:pt idx="30">
                  <c:v>3.4156470418262481</c:v>
                </c:pt>
                <c:pt idx="31">
                  <c:v>3.4480922649187802</c:v>
                </c:pt>
                <c:pt idx="32">
                  <c:v>3.4808652448036952</c:v>
                </c:pt>
                <c:pt idx="33">
                  <c:v>3.5144836340445798</c:v>
                </c:pt>
                <c:pt idx="34">
                  <c:v>3.5501717019256471</c:v>
                </c:pt>
                <c:pt idx="35">
                  <c:v>3.5839988022389946</c:v>
                </c:pt>
                <c:pt idx="36">
                  <c:v>3.6159995692429092</c:v>
                </c:pt>
                <c:pt idx="37">
                  <c:v>3.6501950920214323</c:v>
                </c:pt>
                <c:pt idx="38">
                  <c:v>3.6851244917779002</c:v>
                </c:pt>
                <c:pt idx="39">
                  <c:v>3.7198702715821321</c:v>
                </c:pt>
                <c:pt idx="40">
                  <c:v>3.7571321103616055</c:v>
                </c:pt>
                <c:pt idx="41">
                  <c:v>3.7917134360435245</c:v>
                </c:pt>
                <c:pt idx="42">
                  <c:v>3.8267989896526879</c:v>
                </c:pt>
                <c:pt idx="43">
                  <c:v>3.8627023430886585</c:v>
                </c:pt>
                <c:pt idx="44">
                  <c:v>3.8985868487709894</c:v>
                </c:pt>
                <c:pt idx="45">
                  <c:v>3.9360775686815943</c:v>
                </c:pt>
                <c:pt idx="46">
                  <c:v>3.9738325275042907</c:v>
                </c:pt>
                <c:pt idx="47">
                  <c:v>4.0123411391103003</c:v>
                </c:pt>
                <c:pt idx="48">
                  <c:v>4.0488662137760993</c:v>
                </c:pt>
                <c:pt idx="49">
                  <c:v>4.087862807176128</c:v>
                </c:pt>
                <c:pt idx="50">
                  <c:v>4.1254684149921532</c:v>
                </c:pt>
                <c:pt idx="51">
                  <c:v>4.1621056565164425</c:v>
                </c:pt>
                <c:pt idx="52">
                  <c:v>4.2038240355675995</c:v>
                </c:pt>
                <c:pt idx="53">
                  <c:v>4.2427359388382175</c:v>
                </c:pt>
                <c:pt idx="54">
                  <c:v>4.2836825750483705</c:v>
                </c:pt>
                <c:pt idx="55">
                  <c:v>4.3238925223234528</c:v>
                </c:pt>
                <c:pt idx="56">
                  <c:v>4.3666962277742964</c:v>
                </c:pt>
                <c:pt idx="57">
                  <c:v>4.4042982652823319</c:v>
                </c:pt>
                <c:pt idx="58">
                  <c:v>4.4474673208790776</c:v>
                </c:pt>
                <c:pt idx="59">
                  <c:v>4.4918546337553718</c:v>
                </c:pt>
                <c:pt idx="60">
                  <c:v>4.5346684593017201</c:v>
                </c:pt>
                <c:pt idx="61">
                  <c:v>4.5793940752332318</c:v>
                </c:pt>
                <c:pt idx="62">
                  <c:v>4.6232079908284547</c:v>
                </c:pt>
                <c:pt idx="63">
                  <c:v>4.667252853218792</c:v>
                </c:pt>
                <c:pt idx="64">
                  <c:v>4.7132890596657102</c:v>
                </c:pt>
                <c:pt idx="65">
                  <c:v>4.7582835541022384</c:v>
                </c:pt>
                <c:pt idx="66">
                  <c:v>4.8056395735202644</c:v>
                </c:pt>
                <c:pt idx="67">
                  <c:v>4.8532399644609381</c:v>
                </c:pt>
                <c:pt idx="68">
                  <c:v>4.8971338086139742</c:v>
                </c:pt>
                <c:pt idx="69">
                  <c:v>4.946552834577342</c:v>
                </c:pt>
                <c:pt idx="70">
                  <c:v>4.9967928327037523</c:v>
                </c:pt>
                <c:pt idx="71">
                  <c:v>5.0478991676809724</c:v>
                </c:pt>
                <c:pt idx="72">
                  <c:v>5.0998444401600196</c:v>
                </c:pt>
                <c:pt idx="73">
                  <c:v>5.1517426152763246</c:v>
                </c:pt>
                <c:pt idx="74">
                  <c:v>5.20577437206002</c:v>
                </c:pt>
                <c:pt idx="75">
                  <c:v>5.2561174431237969</c:v>
                </c:pt>
                <c:pt idx="76">
                  <c:v>5.3139813367181166</c:v>
                </c:pt>
                <c:pt idx="77">
                  <c:v>5.3701603877360924</c:v>
                </c:pt>
                <c:pt idx="78">
                  <c:v>5.425664393482589</c:v>
                </c:pt>
                <c:pt idx="79">
                  <c:v>5.4895184546922726</c:v>
                </c:pt>
                <c:pt idx="80">
                  <c:v>5.5477717761916097</c:v>
                </c:pt>
                <c:pt idx="81">
                  <c:v>5.6100431238956547</c:v>
                </c:pt>
                <c:pt idx="82">
                  <c:v>5.6741420990412115</c:v>
                </c:pt>
                <c:pt idx="83">
                  <c:v>5.7407133277968576</c:v>
                </c:pt>
                <c:pt idx="84">
                  <c:v>5.8027853488985581</c:v>
                </c:pt>
                <c:pt idx="85">
                  <c:v>5.87382165901737</c:v>
                </c:pt>
                <c:pt idx="86">
                  <c:v>5.9467885127059503</c:v>
                </c:pt>
                <c:pt idx="87">
                  <c:v>6.0205499747823357</c:v>
                </c:pt>
                <c:pt idx="88">
                  <c:v>6.0974337491355985</c:v>
                </c:pt>
                <c:pt idx="89">
                  <c:v>6.1832760809301552</c:v>
                </c:pt>
                <c:pt idx="90">
                  <c:v>6.265052034322836</c:v>
                </c:pt>
                <c:pt idx="91">
                  <c:v>6.3513741699337691</c:v>
                </c:pt>
                <c:pt idx="92">
                  <c:v>6.441820596113808</c:v>
                </c:pt>
                <c:pt idx="93">
                  <c:v>6.5466203149825279</c:v>
                </c:pt>
                <c:pt idx="94">
                  <c:v>6.6486023376081409</c:v>
                </c:pt>
                <c:pt idx="95">
                  <c:v>6.7700903180764378</c:v>
                </c:pt>
                <c:pt idx="96">
                  <c:v>6.9035812544342132</c:v>
                </c:pt>
                <c:pt idx="97">
                  <c:v>7.0384205817619039</c:v>
                </c:pt>
                <c:pt idx="98">
                  <c:v>7.2242185702136839</c:v>
                </c:pt>
                <c:pt idx="99">
                  <c:v>7.8306325974707924</c:v>
                </c:pt>
              </c:numCache>
            </c:numRef>
          </c:xVal>
          <c:yVal>
            <c:numRef>
              <c:f>'Input variables'!$AB$27:$AB$126</c:f>
              <c:numCache>
                <c:formatCode>General</c:formatCode>
                <c:ptCount val="100"/>
                <c:pt idx="0">
                  <c:v>9.99000999000999E-4</c:v>
                </c:pt>
                <c:pt idx="1">
                  <c:v>9.99000999000999E-3</c:v>
                </c:pt>
                <c:pt idx="2">
                  <c:v>1.998001998001998E-2</c:v>
                </c:pt>
                <c:pt idx="3">
                  <c:v>2.9970029970029972E-2</c:v>
                </c:pt>
                <c:pt idx="4">
                  <c:v>3.996003996003996E-2</c:v>
                </c:pt>
                <c:pt idx="5">
                  <c:v>4.9950049950049952E-2</c:v>
                </c:pt>
                <c:pt idx="6">
                  <c:v>5.9940059940059943E-2</c:v>
                </c:pt>
                <c:pt idx="7">
                  <c:v>6.9930069930069935E-2</c:v>
                </c:pt>
                <c:pt idx="8">
                  <c:v>7.992007992007992E-2</c:v>
                </c:pt>
                <c:pt idx="9">
                  <c:v>8.9910089910089905E-2</c:v>
                </c:pt>
                <c:pt idx="10">
                  <c:v>9.9900099900099903E-2</c:v>
                </c:pt>
                <c:pt idx="11">
                  <c:v>0.10989010989010989</c:v>
                </c:pt>
                <c:pt idx="12">
                  <c:v>0.11988011988011989</c:v>
                </c:pt>
                <c:pt idx="13">
                  <c:v>0.12987012987012986</c:v>
                </c:pt>
                <c:pt idx="14">
                  <c:v>0.13986013986013987</c:v>
                </c:pt>
                <c:pt idx="15">
                  <c:v>0.14985014985014986</c:v>
                </c:pt>
                <c:pt idx="16">
                  <c:v>0.15984015984015984</c:v>
                </c:pt>
                <c:pt idx="17">
                  <c:v>0.16983016983016982</c:v>
                </c:pt>
                <c:pt idx="18">
                  <c:v>0.17982017982017981</c:v>
                </c:pt>
                <c:pt idx="19">
                  <c:v>0.18981018981018982</c:v>
                </c:pt>
                <c:pt idx="20">
                  <c:v>0.19980019980019981</c:v>
                </c:pt>
                <c:pt idx="21">
                  <c:v>0.20979020979020979</c:v>
                </c:pt>
                <c:pt idx="22">
                  <c:v>0.21978021978021978</c:v>
                </c:pt>
                <c:pt idx="23">
                  <c:v>0.22977022977022976</c:v>
                </c:pt>
                <c:pt idx="24">
                  <c:v>0.23976023976023977</c:v>
                </c:pt>
                <c:pt idx="25">
                  <c:v>0.24975024975024976</c:v>
                </c:pt>
                <c:pt idx="26">
                  <c:v>0.25974025974025972</c:v>
                </c:pt>
                <c:pt idx="27">
                  <c:v>0.26973026973026976</c:v>
                </c:pt>
                <c:pt idx="28">
                  <c:v>0.27972027972027974</c:v>
                </c:pt>
                <c:pt idx="29">
                  <c:v>0.28971028971028973</c:v>
                </c:pt>
                <c:pt idx="30">
                  <c:v>0.29970029970029971</c:v>
                </c:pt>
                <c:pt idx="31">
                  <c:v>0.3096903096903097</c:v>
                </c:pt>
                <c:pt idx="32">
                  <c:v>0.31968031968031968</c:v>
                </c:pt>
                <c:pt idx="33">
                  <c:v>0.32967032967032966</c:v>
                </c:pt>
                <c:pt idx="34">
                  <c:v>0.33966033966033965</c:v>
                </c:pt>
                <c:pt idx="35">
                  <c:v>0.34965034965034963</c:v>
                </c:pt>
                <c:pt idx="36">
                  <c:v>0.35964035964035962</c:v>
                </c:pt>
                <c:pt idx="37">
                  <c:v>0.3696303696303696</c:v>
                </c:pt>
                <c:pt idx="38">
                  <c:v>0.37962037962037964</c:v>
                </c:pt>
                <c:pt idx="39">
                  <c:v>0.38961038961038963</c:v>
                </c:pt>
                <c:pt idx="40">
                  <c:v>0.39960039960039961</c:v>
                </c:pt>
                <c:pt idx="41">
                  <c:v>0.4095904095904096</c:v>
                </c:pt>
                <c:pt idx="42">
                  <c:v>0.41958041958041958</c:v>
                </c:pt>
                <c:pt idx="43">
                  <c:v>0.42957042957042957</c:v>
                </c:pt>
                <c:pt idx="44">
                  <c:v>0.43956043956043955</c:v>
                </c:pt>
                <c:pt idx="45">
                  <c:v>0.44955044955044954</c:v>
                </c:pt>
                <c:pt idx="46">
                  <c:v>0.45954045954045952</c:v>
                </c:pt>
                <c:pt idx="47">
                  <c:v>0.46953046953046951</c:v>
                </c:pt>
                <c:pt idx="48">
                  <c:v>0.47952047952047955</c:v>
                </c:pt>
                <c:pt idx="49">
                  <c:v>0.48951048951048953</c:v>
                </c:pt>
                <c:pt idx="50">
                  <c:v>0.49950049950049952</c:v>
                </c:pt>
                <c:pt idx="51">
                  <c:v>0.50949050949050945</c:v>
                </c:pt>
                <c:pt idx="52">
                  <c:v>0.51948051948051943</c:v>
                </c:pt>
                <c:pt idx="53">
                  <c:v>0.52947052947052942</c:v>
                </c:pt>
                <c:pt idx="54">
                  <c:v>0.53946053946053951</c:v>
                </c:pt>
                <c:pt idx="55">
                  <c:v>0.5494505494505495</c:v>
                </c:pt>
                <c:pt idx="56">
                  <c:v>0.55944055944055948</c:v>
                </c:pt>
                <c:pt idx="57">
                  <c:v>0.56943056943056947</c:v>
                </c:pt>
                <c:pt idx="58">
                  <c:v>0.57942057942057945</c:v>
                </c:pt>
                <c:pt idx="59">
                  <c:v>0.58941058941058944</c:v>
                </c:pt>
                <c:pt idx="60">
                  <c:v>0.59940059940059942</c:v>
                </c:pt>
                <c:pt idx="61">
                  <c:v>0.60939060939060941</c:v>
                </c:pt>
                <c:pt idx="62">
                  <c:v>0.61938061938061939</c:v>
                </c:pt>
                <c:pt idx="63">
                  <c:v>0.62937062937062938</c:v>
                </c:pt>
                <c:pt idx="64">
                  <c:v>0.63936063936063936</c:v>
                </c:pt>
                <c:pt idx="65">
                  <c:v>0.64935064935064934</c:v>
                </c:pt>
                <c:pt idx="66">
                  <c:v>0.65934065934065933</c:v>
                </c:pt>
                <c:pt idx="67">
                  <c:v>0.66933066933066931</c:v>
                </c:pt>
                <c:pt idx="68">
                  <c:v>0.6793206793206793</c:v>
                </c:pt>
                <c:pt idx="69">
                  <c:v>0.68931068931068928</c:v>
                </c:pt>
                <c:pt idx="70">
                  <c:v>0.69930069930069927</c:v>
                </c:pt>
                <c:pt idx="71">
                  <c:v>0.70929070929070925</c:v>
                </c:pt>
                <c:pt idx="72">
                  <c:v>0.71928071928071924</c:v>
                </c:pt>
                <c:pt idx="73">
                  <c:v>0.72927072927072922</c:v>
                </c:pt>
                <c:pt idx="74">
                  <c:v>0.73926073926073921</c:v>
                </c:pt>
                <c:pt idx="75">
                  <c:v>0.7492507492507493</c:v>
                </c:pt>
                <c:pt idx="76">
                  <c:v>0.75924075924075929</c:v>
                </c:pt>
                <c:pt idx="77">
                  <c:v>0.76923076923076927</c:v>
                </c:pt>
                <c:pt idx="78">
                  <c:v>0.77922077922077926</c:v>
                </c:pt>
                <c:pt idx="79">
                  <c:v>0.78921078921078924</c:v>
                </c:pt>
                <c:pt idx="80">
                  <c:v>0.79920079920079923</c:v>
                </c:pt>
                <c:pt idx="81">
                  <c:v>0.80919080919080921</c:v>
                </c:pt>
                <c:pt idx="82">
                  <c:v>0.8191808191808192</c:v>
                </c:pt>
                <c:pt idx="83">
                  <c:v>0.82917082917082918</c:v>
                </c:pt>
                <c:pt idx="84">
                  <c:v>0.83916083916083917</c:v>
                </c:pt>
                <c:pt idx="85">
                  <c:v>0.84915084915084915</c:v>
                </c:pt>
                <c:pt idx="86">
                  <c:v>0.85914085914085914</c:v>
                </c:pt>
                <c:pt idx="87">
                  <c:v>0.86913086913086912</c:v>
                </c:pt>
                <c:pt idx="88">
                  <c:v>0.87912087912087911</c:v>
                </c:pt>
                <c:pt idx="89">
                  <c:v>0.88911088911088909</c:v>
                </c:pt>
                <c:pt idx="90">
                  <c:v>0.89910089910089908</c:v>
                </c:pt>
                <c:pt idx="91">
                  <c:v>0.90909090909090906</c:v>
                </c:pt>
                <c:pt idx="92">
                  <c:v>0.91908091908091905</c:v>
                </c:pt>
                <c:pt idx="93">
                  <c:v>0.92907092907092903</c:v>
                </c:pt>
                <c:pt idx="94">
                  <c:v>0.93906093906093902</c:v>
                </c:pt>
                <c:pt idx="95">
                  <c:v>0.949050949050949</c:v>
                </c:pt>
                <c:pt idx="96">
                  <c:v>0.9590409590409591</c:v>
                </c:pt>
                <c:pt idx="97">
                  <c:v>0.96903096903096908</c:v>
                </c:pt>
                <c:pt idx="98">
                  <c:v>0.97902097902097907</c:v>
                </c:pt>
                <c:pt idx="99">
                  <c:v>0.99900099900099903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9-40A2-B92A-A3B81DE21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93599"/>
        <c:axId val="1985206495"/>
      </c:scatterChart>
      <c:valAx>
        <c:axId val="1985193599"/>
        <c:scaling>
          <c:orientation val="minMax"/>
          <c:max val="7.8306325974707924"/>
          <c:min val="2.0684585157551796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5206495"/>
        <c:crosses val="autoZero"/>
        <c:crossBetween val="midCat"/>
      </c:valAx>
      <c:valAx>
        <c:axId val="1985206495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5193599"/>
        <c:crosses val="autoZero"/>
        <c:crossBetween val="midCat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4 - RADIO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'Input variables'!$AC$27:$AC$126</c:f>
              <c:numCache>
                <c:formatCode>General</c:formatCode>
                <c:ptCount val="100"/>
                <c:pt idx="0">
                  <c:v>2.0065243440270426</c:v>
                </c:pt>
                <c:pt idx="1">
                  <c:v>2.1031690138578414</c:v>
                </c:pt>
                <c:pt idx="2">
                  <c:v>2.2188633081912994</c:v>
                </c:pt>
                <c:pt idx="3">
                  <c:v>2.3230157619714737</c:v>
                </c:pt>
                <c:pt idx="4">
                  <c:v>2.4343984317779541</c:v>
                </c:pt>
                <c:pt idx="5">
                  <c:v>2.5488521608114243</c:v>
                </c:pt>
                <c:pt idx="6">
                  <c:v>2.6598739812374115</c:v>
                </c:pt>
                <c:pt idx="7">
                  <c:v>2.7591381102800367</c:v>
                </c:pt>
                <c:pt idx="8">
                  <c:v>2.8777942900657654</c:v>
                </c:pt>
                <c:pt idx="9">
                  <c:v>2.9791372212171554</c:v>
                </c:pt>
                <c:pt idx="10">
                  <c:v>3.0989908401966098</c:v>
                </c:pt>
                <c:pt idx="11">
                  <c:v>3.2089011904001237</c:v>
                </c:pt>
                <c:pt idx="12">
                  <c:v>3.3139816370010378</c:v>
                </c:pt>
                <c:pt idx="13">
                  <c:v>3.4200041755437853</c:v>
                </c:pt>
                <c:pt idx="14">
                  <c:v>3.5350805842876438</c:v>
                </c:pt>
                <c:pt idx="15">
                  <c:v>3.643027170300484</c:v>
                </c:pt>
                <c:pt idx="16">
                  <c:v>3.7532568593025211</c:v>
                </c:pt>
                <c:pt idx="17">
                  <c:v>3.859792379260063</c:v>
                </c:pt>
                <c:pt idx="18">
                  <c:v>3.9747442877292629</c:v>
                </c:pt>
                <c:pt idx="19">
                  <c:v>4.0853475929498675</c:v>
                </c:pt>
                <c:pt idx="20">
                  <c:v>4.1944007186889642</c:v>
                </c:pt>
                <c:pt idx="21">
                  <c:v>4.30970056283474</c:v>
                </c:pt>
                <c:pt idx="22">
                  <c:v>4.4158173997402184</c:v>
                </c:pt>
                <c:pt idx="23">
                  <c:v>4.5193033763170245</c:v>
                </c:pt>
                <c:pt idx="24">
                  <c:v>4.6301783518791204</c:v>
                </c:pt>
                <c:pt idx="25">
                  <c:v>4.7432868317365653</c:v>
                </c:pt>
                <c:pt idx="26">
                  <c:v>4.8528697445392606</c:v>
                </c:pt>
                <c:pt idx="27">
                  <c:v>4.9594448133707045</c:v>
                </c:pt>
                <c:pt idx="28">
                  <c:v>5.0748392705917356</c:v>
                </c:pt>
                <c:pt idx="29">
                  <c:v>5.1899686664342877</c:v>
                </c:pt>
                <c:pt idx="30">
                  <c:v>5.2937055213451387</c:v>
                </c:pt>
                <c:pt idx="31">
                  <c:v>5.4019315720796586</c:v>
                </c:pt>
                <c:pt idx="32">
                  <c:v>5.5146173615455627</c:v>
                </c:pt>
                <c:pt idx="33">
                  <c:v>5.6195229223966603</c:v>
                </c:pt>
                <c:pt idx="34">
                  <c:v>5.7318633043766019</c:v>
                </c:pt>
                <c:pt idx="35">
                  <c:v>5.8410326954126361</c:v>
                </c:pt>
                <c:pt idx="36">
                  <c:v>5.9572308864593504</c:v>
                </c:pt>
                <c:pt idx="37">
                  <c:v>6.06858583009243</c:v>
                </c:pt>
                <c:pt idx="38">
                  <c:v>6.1741160428524022</c:v>
                </c:pt>
                <c:pt idx="39">
                  <c:v>6.2856266013383868</c:v>
                </c:pt>
                <c:pt idx="40">
                  <c:v>6.393382482051849</c:v>
                </c:pt>
                <c:pt idx="41">
                  <c:v>6.5031529949903488</c:v>
                </c:pt>
                <c:pt idx="42">
                  <c:v>6.6129710609912875</c:v>
                </c:pt>
                <c:pt idx="43">
                  <c:v>6.720701082825661</c:v>
                </c:pt>
                <c:pt idx="44">
                  <c:v>6.8352591600418089</c:v>
                </c:pt>
                <c:pt idx="45">
                  <c:v>6.9450793975591658</c:v>
                </c:pt>
                <c:pt idx="46">
                  <c:v>7.0541700580120086</c:v>
                </c:pt>
                <c:pt idx="47">
                  <c:v>7.1678533078432087</c:v>
                </c:pt>
                <c:pt idx="48">
                  <c:v>7.2780323071479796</c:v>
                </c:pt>
                <c:pt idx="49">
                  <c:v>7.3895793932676312</c:v>
                </c:pt>
                <c:pt idx="50">
                  <c:v>7.4891891081333162</c:v>
                </c:pt>
                <c:pt idx="51">
                  <c:v>7.6027898193597796</c:v>
                </c:pt>
                <c:pt idx="52">
                  <c:v>7.7163576850891111</c:v>
                </c:pt>
                <c:pt idx="53">
                  <c:v>7.8217267125844963</c:v>
                </c:pt>
                <c:pt idx="54">
                  <c:v>7.933738660573959</c:v>
                </c:pt>
                <c:pt idx="55">
                  <c:v>8.0488265353441228</c:v>
                </c:pt>
                <c:pt idx="56">
                  <c:v>8.149875430583954</c:v>
                </c:pt>
                <c:pt idx="57">
                  <c:v>8.2659544609785076</c:v>
                </c:pt>
                <c:pt idx="58">
                  <c:v>8.3782635395526874</c:v>
                </c:pt>
                <c:pt idx="59">
                  <c:v>8.483388748764991</c:v>
                </c:pt>
                <c:pt idx="60">
                  <c:v>8.5997100553512578</c:v>
                </c:pt>
                <c:pt idx="61">
                  <c:v>8.7035551189184179</c:v>
                </c:pt>
                <c:pt idx="62">
                  <c:v>8.8154429442882538</c:v>
                </c:pt>
                <c:pt idx="63">
                  <c:v>8.9205111275911335</c:v>
                </c:pt>
                <c:pt idx="64">
                  <c:v>9.0369704461097733</c:v>
                </c:pt>
                <c:pt idx="65">
                  <c:v>9.1441805418729771</c:v>
                </c:pt>
                <c:pt idx="66">
                  <c:v>9.2566904489994037</c:v>
                </c:pt>
                <c:pt idx="67">
                  <c:v>9.3613377147912971</c:v>
                </c:pt>
                <c:pt idx="68">
                  <c:v>9.4762498645782465</c:v>
                </c:pt>
                <c:pt idx="69">
                  <c:v>9.5873419603109369</c:v>
                </c:pt>
                <c:pt idx="70">
                  <c:v>9.6936540029048928</c:v>
                </c:pt>
                <c:pt idx="71">
                  <c:v>9.7996219283342363</c:v>
                </c:pt>
                <c:pt idx="72">
                  <c:v>9.915125947475433</c:v>
                </c:pt>
                <c:pt idx="73">
                  <c:v>10.027909979701043</c:v>
                </c:pt>
                <c:pt idx="74">
                  <c:v>10.136715930223465</c:v>
                </c:pt>
                <c:pt idx="75">
                  <c:v>10.249226561188697</c:v>
                </c:pt>
                <c:pt idx="76">
                  <c:v>10.350660706520081</c:v>
                </c:pt>
                <c:pt idx="77">
                  <c:v>10.461614580512046</c:v>
                </c:pt>
                <c:pt idx="78">
                  <c:v>10.576492930173874</c:v>
                </c:pt>
                <c:pt idx="79">
                  <c:v>10.683623781323433</c:v>
                </c:pt>
                <c:pt idx="80">
                  <c:v>10.795900528430938</c:v>
                </c:pt>
                <c:pt idx="81">
                  <c:v>10.901545118212701</c:v>
                </c:pt>
                <c:pt idx="82">
                  <c:v>11.011336076974869</c:v>
                </c:pt>
                <c:pt idx="83">
                  <c:v>11.129395131707192</c:v>
                </c:pt>
                <c:pt idx="84">
                  <c:v>11.230376174926757</c:v>
                </c:pt>
                <c:pt idx="85">
                  <c:v>11.339650323271751</c:v>
                </c:pt>
                <c:pt idx="86">
                  <c:v>11.4528308198452</c:v>
                </c:pt>
                <c:pt idx="87">
                  <c:v>11.561731530308723</c:v>
                </c:pt>
                <c:pt idx="88">
                  <c:v>11.671602782726287</c:v>
                </c:pt>
                <c:pt idx="89">
                  <c:v>11.785238301157952</c:v>
                </c:pt>
                <c:pt idx="90">
                  <c:v>11.898296983003616</c:v>
                </c:pt>
                <c:pt idx="91">
                  <c:v>12.008933270096779</c:v>
                </c:pt>
                <c:pt idx="92">
                  <c:v>12.114579863548279</c:v>
                </c:pt>
                <c:pt idx="93">
                  <c:v>12.226476532340049</c:v>
                </c:pt>
                <c:pt idx="94">
                  <c:v>12.336288765668868</c:v>
                </c:pt>
                <c:pt idx="95">
                  <c:v>12.447910019040108</c:v>
                </c:pt>
                <c:pt idx="96">
                  <c:v>12.559291304111481</c:v>
                </c:pt>
                <c:pt idx="97">
                  <c:v>12.668891872286798</c:v>
                </c:pt>
                <c:pt idx="98">
                  <c:v>12.774094742059708</c:v>
                </c:pt>
                <c:pt idx="99">
                  <c:v>12.994205366134643</c:v>
                </c:pt>
              </c:numCache>
            </c:numRef>
          </c:xVal>
          <c:yVal>
            <c:numRef>
              <c:f>'Input variables'!$AD$27:$AD$126</c:f>
              <c:numCache>
                <c:formatCode>General</c:formatCode>
                <c:ptCount val="100"/>
                <c:pt idx="0">
                  <c:v>9.99000999000999E-4</c:v>
                </c:pt>
                <c:pt idx="1">
                  <c:v>9.99000999000999E-3</c:v>
                </c:pt>
                <c:pt idx="2">
                  <c:v>1.998001998001998E-2</c:v>
                </c:pt>
                <c:pt idx="3">
                  <c:v>2.9970029970029972E-2</c:v>
                </c:pt>
                <c:pt idx="4">
                  <c:v>3.996003996003996E-2</c:v>
                </c:pt>
                <c:pt idx="5">
                  <c:v>4.9950049950049952E-2</c:v>
                </c:pt>
                <c:pt idx="6">
                  <c:v>5.9940059940059943E-2</c:v>
                </c:pt>
                <c:pt idx="7">
                  <c:v>6.9930069930069935E-2</c:v>
                </c:pt>
                <c:pt idx="8">
                  <c:v>7.992007992007992E-2</c:v>
                </c:pt>
                <c:pt idx="9">
                  <c:v>8.9910089910089905E-2</c:v>
                </c:pt>
                <c:pt idx="10">
                  <c:v>9.9900099900099903E-2</c:v>
                </c:pt>
                <c:pt idx="11">
                  <c:v>0.10989010989010989</c:v>
                </c:pt>
                <c:pt idx="12">
                  <c:v>0.11988011988011989</c:v>
                </c:pt>
                <c:pt idx="13">
                  <c:v>0.12987012987012986</c:v>
                </c:pt>
                <c:pt idx="14">
                  <c:v>0.13986013986013987</c:v>
                </c:pt>
                <c:pt idx="15">
                  <c:v>0.14985014985014986</c:v>
                </c:pt>
                <c:pt idx="16">
                  <c:v>0.15984015984015984</c:v>
                </c:pt>
                <c:pt idx="17">
                  <c:v>0.16983016983016982</c:v>
                </c:pt>
                <c:pt idx="18">
                  <c:v>0.17982017982017981</c:v>
                </c:pt>
                <c:pt idx="19">
                  <c:v>0.18981018981018982</c:v>
                </c:pt>
                <c:pt idx="20">
                  <c:v>0.19980019980019981</c:v>
                </c:pt>
                <c:pt idx="21">
                  <c:v>0.20979020979020979</c:v>
                </c:pt>
                <c:pt idx="22">
                  <c:v>0.21978021978021978</c:v>
                </c:pt>
                <c:pt idx="23">
                  <c:v>0.22977022977022976</c:v>
                </c:pt>
                <c:pt idx="24">
                  <c:v>0.23976023976023977</c:v>
                </c:pt>
                <c:pt idx="25">
                  <c:v>0.24975024975024976</c:v>
                </c:pt>
                <c:pt idx="26">
                  <c:v>0.25974025974025972</c:v>
                </c:pt>
                <c:pt idx="27">
                  <c:v>0.26973026973026976</c:v>
                </c:pt>
                <c:pt idx="28">
                  <c:v>0.27972027972027974</c:v>
                </c:pt>
                <c:pt idx="29">
                  <c:v>0.28971028971028973</c:v>
                </c:pt>
                <c:pt idx="30">
                  <c:v>0.29970029970029971</c:v>
                </c:pt>
                <c:pt idx="31">
                  <c:v>0.3096903096903097</c:v>
                </c:pt>
                <c:pt idx="32">
                  <c:v>0.31968031968031968</c:v>
                </c:pt>
                <c:pt idx="33">
                  <c:v>0.32967032967032966</c:v>
                </c:pt>
                <c:pt idx="34">
                  <c:v>0.33966033966033965</c:v>
                </c:pt>
                <c:pt idx="35">
                  <c:v>0.34965034965034963</c:v>
                </c:pt>
                <c:pt idx="36">
                  <c:v>0.35964035964035962</c:v>
                </c:pt>
                <c:pt idx="37">
                  <c:v>0.3696303696303696</c:v>
                </c:pt>
                <c:pt idx="38">
                  <c:v>0.37962037962037964</c:v>
                </c:pt>
                <c:pt idx="39">
                  <c:v>0.38961038961038963</c:v>
                </c:pt>
                <c:pt idx="40">
                  <c:v>0.39960039960039961</c:v>
                </c:pt>
                <c:pt idx="41">
                  <c:v>0.4095904095904096</c:v>
                </c:pt>
                <c:pt idx="42">
                  <c:v>0.41958041958041958</c:v>
                </c:pt>
                <c:pt idx="43">
                  <c:v>0.42957042957042957</c:v>
                </c:pt>
                <c:pt idx="44">
                  <c:v>0.43956043956043955</c:v>
                </c:pt>
                <c:pt idx="45">
                  <c:v>0.44955044955044954</c:v>
                </c:pt>
                <c:pt idx="46">
                  <c:v>0.45954045954045952</c:v>
                </c:pt>
                <c:pt idx="47">
                  <c:v>0.46953046953046951</c:v>
                </c:pt>
                <c:pt idx="48">
                  <c:v>0.47952047952047955</c:v>
                </c:pt>
                <c:pt idx="49">
                  <c:v>0.48951048951048953</c:v>
                </c:pt>
                <c:pt idx="50">
                  <c:v>0.49950049950049952</c:v>
                </c:pt>
                <c:pt idx="51">
                  <c:v>0.50949050949050945</c:v>
                </c:pt>
                <c:pt idx="52">
                  <c:v>0.51948051948051943</c:v>
                </c:pt>
                <c:pt idx="53">
                  <c:v>0.52947052947052942</c:v>
                </c:pt>
                <c:pt idx="54">
                  <c:v>0.53946053946053951</c:v>
                </c:pt>
                <c:pt idx="55">
                  <c:v>0.5494505494505495</c:v>
                </c:pt>
                <c:pt idx="56">
                  <c:v>0.55944055944055948</c:v>
                </c:pt>
                <c:pt idx="57">
                  <c:v>0.56943056943056947</c:v>
                </c:pt>
                <c:pt idx="58">
                  <c:v>0.57942057942057945</c:v>
                </c:pt>
                <c:pt idx="59">
                  <c:v>0.58941058941058944</c:v>
                </c:pt>
                <c:pt idx="60">
                  <c:v>0.59940059940059942</c:v>
                </c:pt>
                <c:pt idx="61">
                  <c:v>0.60939060939060941</c:v>
                </c:pt>
                <c:pt idx="62">
                  <c:v>0.61938061938061939</c:v>
                </c:pt>
                <c:pt idx="63">
                  <c:v>0.62937062937062938</c:v>
                </c:pt>
                <c:pt idx="64">
                  <c:v>0.63936063936063936</c:v>
                </c:pt>
                <c:pt idx="65">
                  <c:v>0.64935064935064934</c:v>
                </c:pt>
                <c:pt idx="66">
                  <c:v>0.65934065934065933</c:v>
                </c:pt>
                <c:pt idx="67">
                  <c:v>0.66933066933066931</c:v>
                </c:pt>
                <c:pt idx="68">
                  <c:v>0.6793206793206793</c:v>
                </c:pt>
                <c:pt idx="69">
                  <c:v>0.68931068931068928</c:v>
                </c:pt>
                <c:pt idx="70">
                  <c:v>0.69930069930069927</c:v>
                </c:pt>
                <c:pt idx="71">
                  <c:v>0.70929070929070925</c:v>
                </c:pt>
                <c:pt idx="72">
                  <c:v>0.71928071928071924</c:v>
                </c:pt>
                <c:pt idx="73">
                  <c:v>0.72927072927072922</c:v>
                </c:pt>
                <c:pt idx="74">
                  <c:v>0.73926073926073921</c:v>
                </c:pt>
                <c:pt idx="75">
                  <c:v>0.7492507492507493</c:v>
                </c:pt>
                <c:pt idx="76">
                  <c:v>0.75924075924075929</c:v>
                </c:pt>
                <c:pt idx="77">
                  <c:v>0.76923076923076927</c:v>
                </c:pt>
                <c:pt idx="78">
                  <c:v>0.77922077922077926</c:v>
                </c:pt>
                <c:pt idx="79">
                  <c:v>0.78921078921078924</c:v>
                </c:pt>
                <c:pt idx="80">
                  <c:v>0.79920079920079923</c:v>
                </c:pt>
                <c:pt idx="81">
                  <c:v>0.80919080919080921</c:v>
                </c:pt>
                <c:pt idx="82">
                  <c:v>0.8191808191808192</c:v>
                </c:pt>
                <c:pt idx="83">
                  <c:v>0.82917082917082918</c:v>
                </c:pt>
                <c:pt idx="84">
                  <c:v>0.83916083916083917</c:v>
                </c:pt>
                <c:pt idx="85">
                  <c:v>0.84915084915084915</c:v>
                </c:pt>
                <c:pt idx="86">
                  <c:v>0.85914085914085914</c:v>
                </c:pt>
                <c:pt idx="87">
                  <c:v>0.86913086913086912</c:v>
                </c:pt>
                <c:pt idx="88">
                  <c:v>0.87912087912087911</c:v>
                </c:pt>
                <c:pt idx="89">
                  <c:v>0.88911088911088909</c:v>
                </c:pt>
                <c:pt idx="90">
                  <c:v>0.89910089910089908</c:v>
                </c:pt>
                <c:pt idx="91">
                  <c:v>0.90909090909090906</c:v>
                </c:pt>
                <c:pt idx="92">
                  <c:v>0.91908091908091905</c:v>
                </c:pt>
                <c:pt idx="93">
                  <c:v>0.92907092907092903</c:v>
                </c:pt>
                <c:pt idx="94">
                  <c:v>0.93906093906093902</c:v>
                </c:pt>
                <c:pt idx="95">
                  <c:v>0.949050949050949</c:v>
                </c:pt>
                <c:pt idx="96">
                  <c:v>0.9590409590409591</c:v>
                </c:pt>
                <c:pt idx="97">
                  <c:v>0.96903096903096908</c:v>
                </c:pt>
                <c:pt idx="98">
                  <c:v>0.97902097902097907</c:v>
                </c:pt>
                <c:pt idx="99">
                  <c:v>0.99900099900099903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B-4C0D-A2E4-D10B80F48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98175"/>
        <c:axId val="1985199839"/>
      </c:scatterChart>
      <c:valAx>
        <c:axId val="1985198175"/>
        <c:scaling>
          <c:orientation val="minMax"/>
          <c:max val="12.994205366134643"/>
          <c:min val="2.0065243440270426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5199839"/>
        <c:crosses val="autoZero"/>
        <c:crossBetween val="midCat"/>
      </c:valAx>
      <c:valAx>
        <c:axId val="1985199839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5198175"/>
        <c:crosses val="autoZero"/>
        <c:crossBetween val="midCat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/>
            </a:pPr>
            <a:r>
              <a:rPr lang="pt-BR"/>
              <a:t>Input 5 - TV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'Input variables'!$AE$27:$AE$126</c:f>
              <c:numCache>
                <c:formatCode>General</c:formatCode>
                <c:ptCount val="100"/>
                <c:pt idx="0">
                  <c:v>-3.6281595759465706</c:v>
                </c:pt>
                <c:pt idx="1">
                  <c:v>-1.0203380386410998E-3</c:v>
                </c:pt>
                <c:pt idx="2">
                  <c:v>0.78270058789067409</c:v>
                </c:pt>
                <c:pt idx="3">
                  <c:v>1.340995203320972</c:v>
                </c:pt>
                <c:pt idx="4">
                  <c:v>1.7313240402135675</c:v>
                </c:pt>
                <c:pt idx="5">
                  <c:v>2.0525904238309778</c:v>
                </c:pt>
                <c:pt idx="6">
                  <c:v>2.3149062820342587</c:v>
                </c:pt>
                <c:pt idx="7">
                  <c:v>2.560867995494438</c:v>
                </c:pt>
                <c:pt idx="8">
                  <c:v>2.773632351586631</c:v>
                </c:pt>
                <c:pt idx="9">
                  <c:v>2.9665549647772842</c:v>
                </c:pt>
                <c:pt idx="10">
                  <c:v>3.1456892557244682</c:v>
                </c:pt>
                <c:pt idx="11">
                  <c:v>3.3118266422019493</c:v>
                </c:pt>
                <c:pt idx="12">
                  <c:v>3.4608369037083495</c:v>
                </c:pt>
                <c:pt idx="13">
                  <c:v>3.6084724930894572</c:v>
                </c:pt>
                <c:pt idx="14">
                  <c:v>3.7503718102724104</c:v>
                </c:pt>
                <c:pt idx="15">
                  <c:v>3.8859159089430886</c:v>
                </c:pt>
                <c:pt idx="16">
                  <c:v>4.0056284537844364</c:v>
                </c:pt>
                <c:pt idx="17">
                  <c:v>4.1334292256230265</c:v>
                </c:pt>
                <c:pt idx="18">
                  <c:v>4.2495821911179252</c:v>
                </c:pt>
                <c:pt idx="19">
                  <c:v>4.3590354331177821</c:v>
                </c:pt>
                <c:pt idx="20">
                  <c:v>4.4732950619788099</c:v>
                </c:pt>
                <c:pt idx="21">
                  <c:v>4.5749482519090456</c:v>
                </c:pt>
                <c:pt idx="22">
                  <c:v>4.6794761812920473</c:v>
                </c:pt>
                <c:pt idx="23">
                  <c:v>4.7815084997168942</c:v>
                </c:pt>
                <c:pt idx="24">
                  <c:v>4.8751213668592861</c:v>
                </c:pt>
                <c:pt idx="25">
                  <c:v>4.9674954173777088</c:v>
                </c:pt>
                <c:pt idx="26">
                  <c:v>5.0691170060266924</c:v>
                </c:pt>
                <c:pt idx="27">
                  <c:v>5.1573346112906897</c:v>
                </c:pt>
                <c:pt idx="28">
                  <c:v>5.2460686485665864</c:v>
                </c:pt>
                <c:pt idx="29">
                  <c:v>5.3361851100104571</c:v>
                </c:pt>
                <c:pt idx="30">
                  <c:v>5.4250930835973712</c:v>
                </c:pt>
                <c:pt idx="31">
                  <c:v>5.5115305128078154</c:v>
                </c:pt>
                <c:pt idx="32">
                  <c:v>5.5922096777141483</c:v>
                </c:pt>
                <c:pt idx="33">
                  <c:v>5.6741740977145732</c:v>
                </c:pt>
                <c:pt idx="34">
                  <c:v>5.7608371362671171</c:v>
                </c:pt>
                <c:pt idx="35">
                  <c:v>5.8404542365798138</c:v>
                </c:pt>
                <c:pt idx="36">
                  <c:v>5.9210352809200657</c:v>
                </c:pt>
                <c:pt idx="37">
                  <c:v>6.0034630235107471</c:v>
                </c:pt>
                <c:pt idx="38">
                  <c:v>6.0760335377872057</c:v>
                </c:pt>
                <c:pt idx="39">
                  <c:v>6.1545441513265953</c:v>
                </c:pt>
                <c:pt idx="40">
                  <c:v>6.2377248540209438</c:v>
                </c:pt>
                <c:pt idx="41">
                  <c:v>6.3117969331430137</c:v>
                </c:pt>
                <c:pt idx="42">
                  <c:v>6.3942071413789492</c:v>
                </c:pt>
                <c:pt idx="43">
                  <c:v>6.4646257016902693</c:v>
                </c:pt>
                <c:pt idx="44">
                  <c:v>6.5421929479884176</c:v>
                </c:pt>
                <c:pt idx="45">
                  <c:v>6.6223356564871834</c:v>
                </c:pt>
                <c:pt idx="46">
                  <c:v>6.6964564330220222</c:v>
                </c:pt>
                <c:pt idx="47">
                  <c:v>6.771513201079582</c:v>
                </c:pt>
                <c:pt idx="48">
                  <c:v>6.8485794039099703</c:v>
                </c:pt>
                <c:pt idx="49">
                  <c:v>6.9194523074385597</c:v>
                </c:pt>
                <c:pt idx="50">
                  <c:v>6.9962590844567147</c:v>
                </c:pt>
                <c:pt idx="51">
                  <c:v>7.07088973374813</c:v>
                </c:pt>
                <c:pt idx="52">
                  <c:v>7.143717776870643</c:v>
                </c:pt>
                <c:pt idx="53">
                  <c:v>7.2221451434651858</c:v>
                </c:pt>
                <c:pt idx="54">
                  <c:v>7.296686256475633</c:v>
                </c:pt>
                <c:pt idx="55">
                  <c:v>7.37204001381075</c:v>
                </c:pt>
                <c:pt idx="56">
                  <c:v>7.4517436407909834</c:v>
                </c:pt>
                <c:pt idx="57">
                  <c:v>7.527264704302679</c:v>
                </c:pt>
                <c:pt idx="58">
                  <c:v>7.6024055105258954</c:v>
                </c:pt>
                <c:pt idx="59">
                  <c:v>7.6792439153727248</c:v>
                </c:pt>
                <c:pt idx="60">
                  <c:v>7.7549854094325656</c:v>
                </c:pt>
                <c:pt idx="61">
                  <c:v>7.8361629038847225</c:v>
                </c:pt>
                <c:pt idx="62">
                  <c:v>7.9161807636189661</c:v>
                </c:pt>
                <c:pt idx="63">
                  <c:v>7.987965301856673</c:v>
                </c:pt>
                <c:pt idx="64">
                  <c:v>8.0738645512117486</c:v>
                </c:pt>
                <c:pt idx="65">
                  <c:v>8.1509893189188531</c:v>
                </c:pt>
                <c:pt idx="66">
                  <c:v>8.234816925517082</c:v>
                </c:pt>
                <c:pt idx="67">
                  <c:v>8.3123248655463353</c:v>
                </c:pt>
                <c:pt idx="68">
                  <c:v>8.4021721361922008</c:v>
                </c:pt>
                <c:pt idx="69">
                  <c:v>8.4791524102376901</c:v>
                </c:pt>
                <c:pt idx="70">
                  <c:v>8.5693110437203828</c:v>
                </c:pt>
                <c:pt idx="71">
                  <c:v>8.6590838538677772</c:v>
                </c:pt>
                <c:pt idx="72">
                  <c:v>8.7413265871694641</c:v>
                </c:pt>
                <c:pt idx="73">
                  <c:v>8.8305927602830927</c:v>
                </c:pt>
                <c:pt idx="74">
                  <c:v>8.9261381473821615</c:v>
                </c:pt>
                <c:pt idx="75">
                  <c:v>9.0218399455033129</c:v>
                </c:pt>
                <c:pt idx="76">
                  <c:v>9.1167692367132762</c:v>
                </c:pt>
                <c:pt idx="77">
                  <c:v>9.2147576772283806</c:v>
                </c:pt>
                <c:pt idx="78">
                  <c:v>9.3115076596746746</c:v>
                </c:pt>
                <c:pt idx="79">
                  <c:v>9.4114078171926607</c:v>
                </c:pt>
                <c:pt idx="80">
                  <c:v>9.5212618986703781</c:v>
                </c:pt>
                <c:pt idx="81">
                  <c:v>9.6249623096358157</c:v>
                </c:pt>
                <c:pt idx="82">
                  <c:v>9.7374101461085942</c:v>
                </c:pt>
                <c:pt idx="83">
                  <c:v>9.8595199293855824</c:v>
                </c:pt>
                <c:pt idx="84">
                  <c:v>9.9749411387511007</c:v>
                </c:pt>
                <c:pt idx="85">
                  <c:v>10.096796217872749</c:v>
                </c:pt>
                <c:pt idx="86">
                  <c:v>10.233292236537</c:v>
                </c:pt>
                <c:pt idx="87">
                  <c:v>10.376171657102915</c:v>
                </c:pt>
                <c:pt idx="88">
                  <c:v>10.512289984730261</c:v>
                </c:pt>
                <c:pt idx="89">
                  <c:v>10.664763447601473</c:v>
                </c:pt>
                <c:pt idx="90">
                  <c:v>10.843064887984424</c:v>
                </c:pt>
                <c:pt idx="91">
                  <c:v>11.006404715632549</c:v>
                </c:pt>
                <c:pt idx="92">
                  <c:v>11.19614876789549</c:v>
                </c:pt>
                <c:pt idx="93">
                  <c:v>11.420981006344837</c:v>
                </c:pt>
                <c:pt idx="94">
                  <c:v>11.644437619424068</c:v>
                </c:pt>
                <c:pt idx="95">
                  <c:v>11.917292258203315</c:v>
                </c:pt>
                <c:pt idx="96">
                  <c:v>12.246342571203169</c:v>
                </c:pt>
                <c:pt idx="97">
                  <c:v>12.616896843493459</c:v>
                </c:pt>
                <c:pt idx="98">
                  <c:v>13.104699867401482</c:v>
                </c:pt>
                <c:pt idx="99">
                  <c:v>17.568778460410414</c:v>
                </c:pt>
              </c:numCache>
            </c:numRef>
          </c:xVal>
          <c:yVal>
            <c:numRef>
              <c:f>'Input variables'!$AF$27:$AF$126</c:f>
              <c:numCache>
                <c:formatCode>General</c:formatCode>
                <c:ptCount val="100"/>
                <c:pt idx="0">
                  <c:v>9.99000999000999E-4</c:v>
                </c:pt>
                <c:pt idx="1">
                  <c:v>9.99000999000999E-3</c:v>
                </c:pt>
                <c:pt idx="2">
                  <c:v>1.998001998001998E-2</c:v>
                </c:pt>
                <c:pt idx="3">
                  <c:v>2.9970029970029972E-2</c:v>
                </c:pt>
                <c:pt idx="4">
                  <c:v>3.996003996003996E-2</c:v>
                </c:pt>
                <c:pt idx="5">
                  <c:v>4.9950049950049952E-2</c:v>
                </c:pt>
                <c:pt idx="6">
                  <c:v>5.9940059940059943E-2</c:v>
                </c:pt>
                <c:pt idx="7">
                  <c:v>6.9930069930069935E-2</c:v>
                </c:pt>
                <c:pt idx="8">
                  <c:v>7.992007992007992E-2</c:v>
                </c:pt>
                <c:pt idx="9">
                  <c:v>8.9910089910089905E-2</c:v>
                </c:pt>
                <c:pt idx="10">
                  <c:v>9.9900099900099903E-2</c:v>
                </c:pt>
                <c:pt idx="11">
                  <c:v>0.10989010989010989</c:v>
                </c:pt>
                <c:pt idx="12">
                  <c:v>0.11988011988011989</c:v>
                </c:pt>
                <c:pt idx="13">
                  <c:v>0.12987012987012986</c:v>
                </c:pt>
                <c:pt idx="14">
                  <c:v>0.13986013986013987</c:v>
                </c:pt>
                <c:pt idx="15">
                  <c:v>0.14985014985014986</c:v>
                </c:pt>
                <c:pt idx="16">
                  <c:v>0.15984015984015984</c:v>
                </c:pt>
                <c:pt idx="17">
                  <c:v>0.16983016983016982</c:v>
                </c:pt>
                <c:pt idx="18">
                  <c:v>0.17982017982017981</c:v>
                </c:pt>
                <c:pt idx="19">
                  <c:v>0.18981018981018982</c:v>
                </c:pt>
                <c:pt idx="20">
                  <c:v>0.19980019980019981</c:v>
                </c:pt>
                <c:pt idx="21">
                  <c:v>0.20979020979020979</c:v>
                </c:pt>
                <c:pt idx="22">
                  <c:v>0.21978021978021978</c:v>
                </c:pt>
                <c:pt idx="23">
                  <c:v>0.22977022977022976</c:v>
                </c:pt>
                <c:pt idx="24">
                  <c:v>0.23976023976023977</c:v>
                </c:pt>
                <c:pt idx="25">
                  <c:v>0.24975024975024976</c:v>
                </c:pt>
                <c:pt idx="26">
                  <c:v>0.25974025974025972</c:v>
                </c:pt>
                <c:pt idx="27">
                  <c:v>0.26973026973026976</c:v>
                </c:pt>
                <c:pt idx="28">
                  <c:v>0.27972027972027974</c:v>
                </c:pt>
                <c:pt idx="29">
                  <c:v>0.28971028971028973</c:v>
                </c:pt>
                <c:pt idx="30">
                  <c:v>0.29970029970029971</c:v>
                </c:pt>
                <c:pt idx="31">
                  <c:v>0.3096903096903097</c:v>
                </c:pt>
                <c:pt idx="32">
                  <c:v>0.31968031968031968</c:v>
                </c:pt>
                <c:pt idx="33">
                  <c:v>0.32967032967032966</c:v>
                </c:pt>
                <c:pt idx="34">
                  <c:v>0.33966033966033965</c:v>
                </c:pt>
                <c:pt idx="35">
                  <c:v>0.34965034965034963</c:v>
                </c:pt>
                <c:pt idx="36">
                  <c:v>0.35964035964035962</c:v>
                </c:pt>
                <c:pt idx="37">
                  <c:v>0.3696303696303696</c:v>
                </c:pt>
                <c:pt idx="38">
                  <c:v>0.37962037962037964</c:v>
                </c:pt>
                <c:pt idx="39">
                  <c:v>0.38961038961038963</c:v>
                </c:pt>
                <c:pt idx="40">
                  <c:v>0.39960039960039961</c:v>
                </c:pt>
                <c:pt idx="41">
                  <c:v>0.4095904095904096</c:v>
                </c:pt>
                <c:pt idx="42">
                  <c:v>0.41958041958041958</c:v>
                </c:pt>
                <c:pt idx="43">
                  <c:v>0.42957042957042957</c:v>
                </c:pt>
                <c:pt idx="44">
                  <c:v>0.43956043956043955</c:v>
                </c:pt>
                <c:pt idx="45">
                  <c:v>0.44955044955044954</c:v>
                </c:pt>
                <c:pt idx="46">
                  <c:v>0.45954045954045952</c:v>
                </c:pt>
                <c:pt idx="47">
                  <c:v>0.46953046953046951</c:v>
                </c:pt>
                <c:pt idx="48">
                  <c:v>0.47952047952047955</c:v>
                </c:pt>
                <c:pt idx="49">
                  <c:v>0.48951048951048953</c:v>
                </c:pt>
                <c:pt idx="50">
                  <c:v>0.49950049950049952</c:v>
                </c:pt>
                <c:pt idx="51">
                  <c:v>0.50949050949050945</c:v>
                </c:pt>
                <c:pt idx="52">
                  <c:v>0.51948051948051943</c:v>
                </c:pt>
                <c:pt idx="53">
                  <c:v>0.52947052947052942</c:v>
                </c:pt>
                <c:pt idx="54">
                  <c:v>0.53946053946053951</c:v>
                </c:pt>
                <c:pt idx="55">
                  <c:v>0.5494505494505495</c:v>
                </c:pt>
                <c:pt idx="56">
                  <c:v>0.55944055944055948</c:v>
                </c:pt>
                <c:pt idx="57">
                  <c:v>0.56943056943056947</c:v>
                </c:pt>
                <c:pt idx="58">
                  <c:v>0.57942057942057945</c:v>
                </c:pt>
                <c:pt idx="59">
                  <c:v>0.58941058941058944</c:v>
                </c:pt>
                <c:pt idx="60">
                  <c:v>0.59940059940059942</c:v>
                </c:pt>
                <c:pt idx="61">
                  <c:v>0.60939060939060941</c:v>
                </c:pt>
                <c:pt idx="62">
                  <c:v>0.61938061938061939</c:v>
                </c:pt>
                <c:pt idx="63">
                  <c:v>0.62937062937062938</c:v>
                </c:pt>
                <c:pt idx="64">
                  <c:v>0.63936063936063936</c:v>
                </c:pt>
                <c:pt idx="65">
                  <c:v>0.64935064935064934</c:v>
                </c:pt>
                <c:pt idx="66">
                  <c:v>0.65934065934065933</c:v>
                </c:pt>
                <c:pt idx="67">
                  <c:v>0.66933066933066931</c:v>
                </c:pt>
                <c:pt idx="68">
                  <c:v>0.6793206793206793</c:v>
                </c:pt>
                <c:pt idx="69">
                  <c:v>0.68931068931068928</c:v>
                </c:pt>
                <c:pt idx="70">
                  <c:v>0.69930069930069927</c:v>
                </c:pt>
                <c:pt idx="71">
                  <c:v>0.70929070929070925</c:v>
                </c:pt>
                <c:pt idx="72">
                  <c:v>0.71928071928071924</c:v>
                </c:pt>
                <c:pt idx="73">
                  <c:v>0.72927072927072922</c:v>
                </c:pt>
                <c:pt idx="74">
                  <c:v>0.73926073926073921</c:v>
                </c:pt>
                <c:pt idx="75">
                  <c:v>0.7492507492507493</c:v>
                </c:pt>
                <c:pt idx="76">
                  <c:v>0.75924075924075929</c:v>
                </c:pt>
                <c:pt idx="77">
                  <c:v>0.76923076923076927</c:v>
                </c:pt>
                <c:pt idx="78">
                  <c:v>0.77922077922077926</c:v>
                </c:pt>
                <c:pt idx="79">
                  <c:v>0.78921078921078924</c:v>
                </c:pt>
                <c:pt idx="80">
                  <c:v>0.79920079920079923</c:v>
                </c:pt>
                <c:pt idx="81">
                  <c:v>0.80919080919080921</c:v>
                </c:pt>
                <c:pt idx="82">
                  <c:v>0.8191808191808192</c:v>
                </c:pt>
                <c:pt idx="83">
                  <c:v>0.82917082917082918</c:v>
                </c:pt>
                <c:pt idx="84">
                  <c:v>0.83916083916083917</c:v>
                </c:pt>
                <c:pt idx="85">
                  <c:v>0.84915084915084915</c:v>
                </c:pt>
                <c:pt idx="86">
                  <c:v>0.85914085914085914</c:v>
                </c:pt>
                <c:pt idx="87">
                  <c:v>0.86913086913086912</c:v>
                </c:pt>
                <c:pt idx="88">
                  <c:v>0.87912087912087911</c:v>
                </c:pt>
                <c:pt idx="89">
                  <c:v>0.88911088911088909</c:v>
                </c:pt>
                <c:pt idx="90">
                  <c:v>0.89910089910089908</c:v>
                </c:pt>
                <c:pt idx="91">
                  <c:v>0.90909090909090906</c:v>
                </c:pt>
                <c:pt idx="92">
                  <c:v>0.91908091908091905</c:v>
                </c:pt>
                <c:pt idx="93">
                  <c:v>0.92907092907092903</c:v>
                </c:pt>
                <c:pt idx="94">
                  <c:v>0.93906093906093902</c:v>
                </c:pt>
                <c:pt idx="95">
                  <c:v>0.949050949050949</c:v>
                </c:pt>
                <c:pt idx="96">
                  <c:v>0.9590409590409591</c:v>
                </c:pt>
                <c:pt idx="97">
                  <c:v>0.96903096903096908</c:v>
                </c:pt>
                <c:pt idx="98">
                  <c:v>0.97902097902097907</c:v>
                </c:pt>
                <c:pt idx="99">
                  <c:v>0.99900099900099903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9-4BC2-89CF-0D9D0B92D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97759"/>
        <c:axId val="1985198175"/>
      </c:scatterChart>
      <c:valAx>
        <c:axId val="1985197759"/>
        <c:scaling>
          <c:orientation val="minMax"/>
          <c:max val="17.568778460410414"/>
          <c:min val="-3.6281595759465706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85198175"/>
        <c:crosses val="autoZero"/>
        <c:crossBetween val="midCat"/>
      </c:valAx>
      <c:valAx>
        <c:axId val="1985198175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985197759"/>
        <c:crosses val="autoZero"/>
        <c:crossBetween val="midCat"/>
      </c:valAx>
    </c:plotArea>
    <c:plotVisOnly val="1"/>
    <c:dispBlanksAs val="gap"/>
    <c:showDLblsOverMax val="0"/>
  </c:chart>
  <c:spPr>
    <a:ln w="9525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99060</xdr:rowOff>
    </xdr:from>
    <xdr:to>
      <xdr:col>9</xdr:col>
      <xdr:colOff>266700</xdr:colOff>
      <xdr:row>27</xdr:row>
      <xdr:rowOff>15240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441960</xdr:colOff>
      <xdr:row>2</xdr:row>
      <xdr:rowOff>114300</xdr:rowOff>
    </xdr:from>
    <xdr:to>
      <xdr:col>16</xdr:col>
      <xdr:colOff>96520</xdr:colOff>
      <xdr:row>17</xdr:row>
      <xdr:rowOff>114300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6</xdr:col>
      <xdr:colOff>0</xdr:colOff>
      <xdr:row>34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6</xdr:col>
      <xdr:colOff>0</xdr:colOff>
      <xdr:row>51</xdr:row>
      <xdr:rowOff>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6</xdr:col>
      <xdr:colOff>0</xdr:colOff>
      <xdr:row>68</xdr:row>
      <xdr:rowOff>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6</xdr:col>
      <xdr:colOff>0</xdr:colOff>
      <xdr:row>85</xdr:row>
      <xdr:rowOff>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0</xdr:colOff>
      <xdr:row>17</xdr:row>
      <xdr:rowOff>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12</xdr:col>
      <xdr:colOff>0</xdr:colOff>
      <xdr:row>34</xdr:row>
      <xdr:rowOff>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12</xdr:col>
      <xdr:colOff>0</xdr:colOff>
      <xdr:row>51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53</xdr:row>
      <xdr:rowOff>0</xdr:rowOff>
    </xdr:from>
    <xdr:to>
      <xdr:col>12</xdr:col>
      <xdr:colOff>0</xdr:colOff>
      <xdr:row>68</xdr:row>
      <xdr:rowOff>0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70</xdr:row>
      <xdr:rowOff>0</xdr:rowOff>
    </xdr:from>
    <xdr:to>
      <xdr:col>12</xdr:col>
      <xdr:colOff>0</xdr:colOff>
      <xdr:row>85</xdr:row>
      <xdr:rowOff>0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541020</xdr:colOff>
          <xdr:row>3</xdr:row>
          <xdr:rowOff>45720</xdr:rowOff>
        </xdr:from>
        <xdr:to>
          <xdr:col>10</xdr:col>
          <xdr:colOff>132080</xdr:colOff>
          <xdr:row>3</xdr:row>
          <xdr:rowOff>518160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G132"/>
  <sheetViews>
    <sheetView topLeftCell="A6" zoomScale="53" zoomScaleNormal="53" workbookViewId="0">
      <selection activeCell="F38" sqref="F38:F43"/>
    </sheetView>
  </sheetViews>
  <sheetFormatPr defaultRowHeight="14.4" x14ac:dyDescent="0.3"/>
  <cols>
    <col min="2" max="2" width="110.109375" bestFit="1" customWidth="1"/>
    <col min="3" max="4" width="72.88671875" bestFit="1" customWidth="1"/>
    <col min="5" max="5" width="30.44140625" bestFit="1" customWidth="1"/>
    <col min="6" max="6" width="32.33203125" bestFit="1" customWidth="1"/>
    <col min="7" max="7" width="22.109375" customWidth="1"/>
  </cols>
  <sheetData>
    <row r="1" spans="1:33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</row>
    <row r="2" spans="1:33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</row>
    <row r="3" spans="1:33" ht="14.4" customHeight="1" x14ac:dyDescent="0.3">
      <c r="A3" s="61"/>
      <c r="B3" s="61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1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</row>
    <row r="4" spans="1:33" ht="14.4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1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</row>
    <row r="5" spans="1:33" ht="14.4" customHeight="1" x14ac:dyDescent="0.3">
      <c r="A5" s="61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1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</row>
    <row r="6" spans="1:33" ht="14.4" customHeight="1" x14ac:dyDescent="0.3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1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</row>
    <row r="7" spans="1:33" ht="14.4" customHeight="1" x14ac:dyDescent="0.3">
      <c r="A7" s="61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1"/>
      <c r="V7" s="61"/>
      <c r="W7" s="61"/>
      <c r="X7" s="61"/>
      <c r="Y7" s="54"/>
      <c r="Z7" s="54"/>
      <c r="AA7" s="54"/>
      <c r="AB7" s="54"/>
      <c r="AC7" s="54"/>
      <c r="AD7" s="54"/>
      <c r="AE7" s="54"/>
      <c r="AF7" s="54"/>
      <c r="AG7" s="54"/>
    </row>
    <row r="8" spans="1:33" ht="14.4" customHeight="1" x14ac:dyDescent="0.3">
      <c r="A8" s="61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1"/>
      <c r="V8" s="61"/>
      <c r="W8" s="61"/>
      <c r="X8" s="61"/>
      <c r="Y8" s="54"/>
      <c r="Z8" s="54"/>
      <c r="AA8" s="54"/>
      <c r="AB8" s="54"/>
      <c r="AC8" s="54"/>
      <c r="AD8" s="54"/>
      <c r="AE8" s="54"/>
      <c r="AF8" s="54"/>
      <c r="AG8" s="54"/>
    </row>
    <row r="9" spans="1:33" ht="14.4" customHeight="1" x14ac:dyDescent="0.3">
      <c r="A9" s="61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1"/>
      <c r="V9" s="61"/>
      <c r="W9" s="61"/>
      <c r="X9" s="61"/>
      <c r="Y9" s="54"/>
      <c r="Z9" s="54"/>
      <c r="AA9" s="54"/>
      <c r="AB9" s="54"/>
      <c r="AC9" s="54"/>
      <c r="AD9" s="54"/>
      <c r="AE9" s="54"/>
      <c r="AF9" s="54"/>
      <c r="AG9" s="54"/>
    </row>
    <row r="10" spans="1:33" ht="14.4" customHeight="1" thickBot="1" x14ac:dyDescent="0.35">
      <c r="A10" s="61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1"/>
      <c r="V10" s="61"/>
      <c r="W10" s="61"/>
      <c r="X10" s="61"/>
      <c r="Y10" s="54"/>
      <c r="Z10" s="54"/>
      <c r="AA10" s="54"/>
      <c r="AB10" s="54"/>
      <c r="AC10" s="54"/>
      <c r="AD10" s="54"/>
      <c r="AE10" s="54"/>
      <c r="AF10" s="54"/>
      <c r="AG10" s="54"/>
    </row>
    <row r="11" spans="1:33" ht="14.4" customHeight="1" x14ac:dyDescent="0.3">
      <c r="A11" s="54"/>
      <c r="B11" s="114" t="s">
        <v>175</v>
      </c>
      <c r="C11" s="105"/>
      <c r="D11" s="105"/>
      <c r="E11" s="105"/>
      <c r="F11" s="105"/>
      <c r="G11" s="106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1"/>
      <c r="V11" s="61"/>
      <c r="W11" s="61"/>
      <c r="X11" s="61"/>
      <c r="Y11" s="54"/>
      <c r="Z11" s="54"/>
      <c r="AA11" s="54"/>
      <c r="AB11" s="54"/>
      <c r="AC11" s="54"/>
      <c r="AD11" s="54"/>
      <c r="AE11" s="54"/>
      <c r="AF11" s="54"/>
      <c r="AG11" s="54"/>
    </row>
    <row r="12" spans="1:33" ht="14.4" customHeight="1" x14ac:dyDescent="0.3">
      <c r="A12" s="54"/>
      <c r="B12" s="107"/>
      <c r="C12" s="108"/>
      <c r="D12" s="108"/>
      <c r="E12" s="108"/>
      <c r="F12" s="108"/>
      <c r="G12" s="109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1"/>
      <c r="V12" s="61"/>
      <c r="W12" s="61"/>
      <c r="X12" s="61"/>
      <c r="Y12" s="54"/>
      <c r="Z12" s="54"/>
      <c r="AA12" s="54"/>
      <c r="AB12" s="54"/>
      <c r="AC12" s="54"/>
      <c r="AD12" s="54"/>
      <c r="AE12" s="54"/>
      <c r="AF12" s="54"/>
      <c r="AG12" s="54"/>
    </row>
    <row r="13" spans="1:33" ht="14.4" customHeight="1" x14ac:dyDescent="0.3">
      <c r="A13" s="54"/>
      <c r="B13" s="107"/>
      <c r="C13" s="108"/>
      <c r="D13" s="108"/>
      <c r="E13" s="108"/>
      <c r="F13" s="108"/>
      <c r="G13" s="109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1"/>
      <c r="V13" s="61"/>
      <c r="W13" s="61"/>
      <c r="X13" s="61"/>
      <c r="Y13" s="54"/>
      <c r="Z13" s="54"/>
      <c r="AA13" s="54"/>
      <c r="AB13" s="54"/>
      <c r="AC13" s="54"/>
      <c r="AD13" s="54"/>
      <c r="AE13" s="54"/>
      <c r="AF13" s="54"/>
      <c r="AG13" s="54"/>
    </row>
    <row r="14" spans="1:33" ht="14.4" customHeight="1" x14ac:dyDescent="0.3">
      <c r="A14" s="54"/>
      <c r="B14" s="107"/>
      <c r="C14" s="108"/>
      <c r="D14" s="108"/>
      <c r="E14" s="108"/>
      <c r="F14" s="108"/>
      <c r="G14" s="109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1"/>
      <c r="V14" s="61"/>
      <c r="W14" s="61"/>
      <c r="X14" s="61"/>
      <c r="Y14" s="54"/>
      <c r="Z14" s="54"/>
      <c r="AA14" s="54"/>
      <c r="AB14" s="54"/>
      <c r="AC14" s="54"/>
      <c r="AD14" s="54"/>
      <c r="AE14" s="54"/>
      <c r="AF14" s="54"/>
      <c r="AG14" s="54"/>
    </row>
    <row r="15" spans="1:33" ht="14.4" customHeight="1" x14ac:dyDescent="0.3">
      <c r="A15" s="54"/>
      <c r="B15" s="107"/>
      <c r="C15" s="108"/>
      <c r="D15" s="108"/>
      <c r="E15" s="108"/>
      <c r="F15" s="108"/>
      <c r="G15" s="109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1"/>
      <c r="V15" s="61"/>
      <c r="W15" s="61"/>
      <c r="X15" s="61"/>
      <c r="Y15" s="54"/>
      <c r="Z15" s="54"/>
      <c r="AA15" s="54"/>
      <c r="AB15" s="54"/>
      <c r="AC15" s="54"/>
      <c r="AD15" s="54"/>
      <c r="AE15" s="54"/>
      <c r="AF15" s="54"/>
      <c r="AG15" s="54"/>
    </row>
    <row r="16" spans="1:33" ht="14.4" customHeight="1" x14ac:dyDescent="0.3">
      <c r="A16" s="54"/>
      <c r="B16" s="107"/>
      <c r="C16" s="108"/>
      <c r="D16" s="108"/>
      <c r="E16" s="108"/>
      <c r="F16" s="108"/>
      <c r="G16" s="109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1"/>
      <c r="V16" s="61"/>
      <c r="W16" s="61"/>
      <c r="X16" s="61"/>
      <c r="Y16" s="54"/>
      <c r="Z16" s="54"/>
      <c r="AA16" s="54"/>
      <c r="AB16" s="54"/>
      <c r="AC16" s="54"/>
      <c r="AD16" s="54"/>
      <c r="AE16" s="54"/>
      <c r="AF16" s="54"/>
      <c r="AG16" s="54"/>
    </row>
    <row r="17" spans="1:33" ht="14.4" customHeight="1" x14ac:dyDescent="0.3">
      <c r="A17" s="54"/>
      <c r="B17" s="107"/>
      <c r="C17" s="108"/>
      <c r="D17" s="108"/>
      <c r="E17" s="108"/>
      <c r="F17" s="108"/>
      <c r="G17" s="109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1"/>
      <c r="V17" s="61"/>
      <c r="W17" s="61"/>
      <c r="X17" s="61"/>
      <c r="Y17" s="54"/>
      <c r="Z17" s="54"/>
      <c r="AA17" s="54"/>
      <c r="AB17" s="54"/>
      <c r="AC17" s="54"/>
      <c r="AD17" s="54"/>
      <c r="AE17" s="54"/>
      <c r="AF17" s="54"/>
      <c r="AG17" s="54"/>
    </row>
    <row r="18" spans="1:33" ht="14.4" customHeight="1" x14ac:dyDescent="0.3">
      <c r="A18" s="54"/>
      <c r="B18" s="107"/>
      <c r="C18" s="108"/>
      <c r="D18" s="108"/>
      <c r="E18" s="108"/>
      <c r="F18" s="108"/>
      <c r="G18" s="109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1"/>
      <c r="V18" s="61"/>
      <c r="W18" s="61"/>
      <c r="X18" s="61"/>
      <c r="Y18" s="54"/>
      <c r="Z18" s="54"/>
      <c r="AA18" s="54"/>
      <c r="AB18" s="54"/>
      <c r="AC18" s="54"/>
      <c r="AD18" s="54"/>
      <c r="AE18" s="54"/>
      <c r="AF18" s="54"/>
      <c r="AG18" s="54"/>
    </row>
    <row r="19" spans="1:33" ht="14.4" customHeight="1" x14ac:dyDescent="0.3">
      <c r="A19" s="54"/>
      <c r="B19" s="107"/>
      <c r="C19" s="108"/>
      <c r="D19" s="108"/>
      <c r="E19" s="108"/>
      <c r="F19" s="108"/>
      <c r="G19" s="109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1"/>
      <c r="V19" s="61"/>
      <c r="W19" s="61"/>
      <c r="X19" s="61"/>
      <c r="Y19" s="54"/>
      <c r="Z19" s="54"/>
      <c r="AA19" s="54"/>
      <c r="AB19" s="54"/>
      <c r="AC19" s="54"/>
      <c r="AD19" s="54"/>
      <c r="AE19" s="54"/>
      <c r="AF19" s="54"/>
      <c r="AG19" s="54"/>
    </row>
    <row r="20" spans="1:33" ht="14.4" customHeight="1" x14ac:dyDescent="0.3">
      <c r="A20" s="54"/>
      <c r="B20" s="107"/>
      <c r="C20" s="108"/>
      <c r="D20" s="108"/>
      <c r="E20" s="108"/>
      <c r="F20" s="108"/>
      <c r="G20" s="109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1"/>
      <c r="V20" s="61"/>
      <c r="W20" s="61"/>
      <c r="X20" s="61"/>
      <c r="Y20" s="54"/>
      <c r="Z20" s="54"/>
      <c r="AA20" s="54"/>
      <c r="AB20" s="54"/>
      <c r="AC20" s="54"/>
      <c r="AD20" s="54"/>
      <c r="AE20" s="54"/>
      <c r="AF20" s="54"/>
      <c r="AG20" s="54"/>
    </row>
    <row r="21" spans="1:33" ht="14.4" customHeight="1" x14ac:dyDescent="0.3">
      <c r="A21" s="54"/>
      <c r="B21" s="107"/>
      <c r="C21" s="108"/>
      <c r="D21" s="108"/>
      <c r="E21" s="108"/>
      <c r="F21" s="108"/>
      <c r="G21" s="109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1"/>
      <c r="V21" s="61"/>
      <c r="W21" s="61"/>
      <c r="X21" s="61"/>
      <c r="Y21" s="54"/>
      <c r="Z21" s="54"/>
      <c r="AA21" s="54"/>
      <c r="AB21" s="54"/>
      <c r="AC21" s="54"/>
      <c r="AD21" s="54"/>
      <c r="AE21" s="54"/>
      <c r="AF21" s="54"/>
      <c r="AG21" s="54"/>
    </row>
    <row r="22" spans="1:33" ht="14.4" customHeight="1" x14ac:dyDescent="0.3">
      <c r="A22" s="54"/>
      <c r="B22" s="107"/>
      <c r="C22" s="108"/>
      <c r="D22" s="108"/>
      <c r="E22" s="108"/>
      <c r="F22" s="108"/>
      <c r="G22" s="109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1"/>
      <c r="V22" s="61"/>
      <c r="W22" s="61"/>
      <c r="X22" s="61"/>
      <c r="Y22" s="54"/>
      <c r="Z22" s="54"/>
      <c r="AA22" s="54"/>
      <c r="AB22" s="54"/>
      <c r="AC22" s="54"/>
      <c r="AD22" s="54"/>
      <c r="AE22" s="54"/>
      <c r="AF22" s="54"/>
      <c r="AG22" s="54"/>
    </row>
    <row r="23" spans="1:33" ht="14.4" customHeight="1" x14ac:dyDescent="0.3">
      <c r="A23" s="54"/>
      <c r="B23" s="107"/>
      <c r="C23" s="108"/>
      <c r="D23" s="108"/>
      <c r="E23" s="108"/>
      <c r="F23" s="108"/>
      <c r="G23" s="109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1"/>
      <c r="V23" s="61"/>
      <c r="W23" s="61"/>
      <c r="X23" s="61"/>
      <c r="Y23" s="54"/>
      <c r="Z23" s="54"/>
      <c r="AA23" s="54"/>
      <c r="AB23" s="54"/>
      <c r="AC23" s="54"/>
      <c r="AD23" s="54"/>
      <c r="AE23" s="54"/>
      <c r="AF23" s="54"/>
      <c r="AG23" s="54"/>
    </row>
    <row r="24" spans="1:33" ht="14.4" customHeight="1" x14ac:dyDescent="0.3">
      <c r="A24" s="54"/>
      <c r="B24" s="107"/>
      <c r="C24" s="108"/>
      <c r="D24" s="108"/>
      <c r="E24" s="108"/>
      <c r="F24" s="108"/>
      <c r="G24" s="109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1"/>
      <c r="V24" s="61"/>
      <c r="W24" s="61"/>
      <c r="X24" s="61"/>
      <c r="Y24" s="54"/>
      <c r="Z24" s="54"/>
      <c r="AA24" s="54"/>
      <c r="AB24" s="54"/>
      <c r="AC24" s="54"/>
      <c r="AD24" s="54"/>
      <c r="AE24" s="54"/>
      <c r="AF24" s="54"/>
      <c r="AG24" s="54"/>
    </row>
    <row r="25" spans="1:33" ht="14.4" customHeight="1" x14ac:dyDescent="0.3">
      <c r="A25" s="54"/>
      <c r="B25" s="107"/>
      <c r="C25" s="108"/>
      <c r="D25" s="108"/>
      <c r="E25" s="108"/>
      <c r="F25" s="108"/>
      <c r="G25" s="109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1"/>
      <c r="V25" s="61"/>
      <c r="W25" s="61"/>
      <c r="X25" s="61"/>
      <c r="Y25" s="54"/>
      <c r="Z25" s="54"/>
      <c r="AA25" s="54"/>
      <c r="AB25" s="54"/>
      <c r="AC25" s="54"/>
      <c r="AD25" s="54"/>
      <c r="AE25" s="54"/>
      <c r="AF25" s="54"/>
      <c r="AG25" s="54"/>
    </row>
    <row r="26" spans="1:33" x14ac:dyDescent="0.3">
      <c r="A26" s="54"/>
      <c r="B26" s="63"/>
      <c r="C26" s="64"/>
      <c r="D26" s="64"/>
      <c r="E26" s="64"/>
      <c r="F26" s="64"/>
      <c r="G26" s="6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54"/>
      <c r="Z26" s="54"/>
      <c r="AA26" s="54"/>
      <c r="AB26" s="54"/>
      <c r="AC26" s="54"/>
      <c r="AD26" s="54"/>
      <c r="AE26" s="54"/>
      <c r="AF26" s="54"/>
      <c r="AG26" s="54"/>
    </row>
    <row r="27" spans="1:33" ht="21" x14ac:dyDescent="0.4">
      <c r="A27" s="54"/>
      <c r="B27" s="66" t="s">
        <v>156</v>
      </c>
      <c r="C27" s="67"/>
      <c r="D27" s="85" t="s">
        <v>169</v>
      </c>
      <c r="E27" s="67"/>
      <c r="F27" s="67"/>
      <c r="G27" s="68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54"/>
      <c r="Z27" s="54"/>
      <c r="AA27" s="54"/>
      <c r="AB27" s="54"/>
      <c r="AC27" s="54"/>
      <c r="AD27" s="54"/>
      <c r="AE27" s="54"/>
      <c r="AF27" s="54"/>
      <c r="AG27" s="54"/>
    </row>
    <row r="28" spans="1:33" ht="21" x14ac:dyDescent="0.4">
      <c r="A28" s="54"/>
      <c r="B28" s="69" t="s">
        <v>160</v>
      </c>
      <c r="C28" s="67"/>
      <c r="D28" s="67"/>
      <c r="E28" s="67"/>
      <c r="F28" s="67"/>
      <c r="G28" s="68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54"/>
      <c r="Z28" s="54"/>
      <c r="AA28" s="54"/>
      <c r="AB28" s="54"/>
      <c r="AC28" s="54"/>
      <c r="AD28" s="54"/>
      <c r="AE28" s="54"/>
      <c r="AF28" s="54"/>
      <c r="AG28" s="54"/>
    </row>
    <row r="29" spans="1:33" ht="21" x14ac:dyDescent="0.4">
      <c r="A29" s="54"/>
      <c r="B29" s="69" t="s">
        <v>158</v>
      </c>
      <c r="C29" s="67"/>
      <c r="D29" s="67"/>
      <c r="E29" s="67"/>
      <c r="F29" s="67"/>
      <c r="G29" s="68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54"/>
      <c r="Z29" s="54"/>
      <c r="AA29" s="54"/>
      <c r="AB29" s="54"/>
      <c r="AC29" s="54"/>
      <c r="AD29" s="54"/>
      <c r="AE29" s="54"/>
      <c r="AF29" s="54"/>
      <c r="AG29" s="54"/>
    </row>
    <row r="30" spans="1:33" ht="21" x14ac:dyDescent="0.4">
      <c r="A30" s="54"/>
      <c r="B30" s="69" t="s">
        <v>159</v>
      </c>
      <c r="C30" s="67"/>
      <c r="D30" s="67"/>
      <c r="E30" s="67"/>
      <c r="F30" s="67"/>
      <c r="G30" s="68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54"/>
      <c r="Z30" s="54"/>
      <c r="AA30" s="54"/>
      <c r="AB30" s="54"/>
      <c r="AC30" s="54"/>
      <c r="AD30" s="54"/>
      <c r="AE30" s="54"/>
      <c r="AF30" s="54"/>
      <c r="AG30" s="54"/>
    </row>
    <row r="31" spans="1:33" ht="21" x14ac:dyDescent="0.4">
      <c r="A31" s="54"/>
      <c r="B31" s="69" t="s">
        <v>141</v>
      </c>
      <c r="C31" s="67"/>
      <c r="D31" s="67"/>
      <c r="E31" s="67"/>
      <c r="F31" s="67"/>
      <c r="G31" s="68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54"/>
      <c r="Z31" s="54"/>
      <c r="AA31" s="54"/>
      <c r="AB31" s="54"/>
      <c r="AC31" s="54"/>
      <c r="AD31" s="54"/>
      <c r="AE31" s="54"/>
      <c r="AF31" s="54"/>
      <c r="AG31" s="54"/>
    </row>
    <row r="32" spans="1:33" ht="21" x14ac:dyDescent="0.4">
      <c r="A32" s="54"/>
      <c r="B32" s="69" t="s">
        <v>0</v>
      </c>
      <c r="C32" s="67"/>
      <c r="D32" s="67"/>
      <c r="E32" s="67"/>
      <c r="F32" s="67"/>
      <c r="G32" s="68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54"/>
      <c r="Z32" s="54"/>
      <c r="AA32" s="54"/>
      <c r="AB32" s="54"/>
      <c r="AC32" s="54"/>
      <c r="AD32" s="54"/>
      <c r="AE32" s="54"/>
      <c r="AF32" s="54"/>
      <c r="AG32" s="54"/>
    </row>
    <row r="33" spans="1:33" ht="21" x14ac:dyDescent="0.4">
      <c r="A33" s="54"/>
      <c r="B33" s="70"/>
      <c r="C33" s="67"/>
      <c r="D33" s="67"/>
      <c r="E33" s="67"/>
      <c r="F33" s="67"/>
      <c r="G33" s="68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54"/>
      <c r="Z33" s="54"/>
      <c r="AA33" s="54"/>
      <c r="AB33" s="54"/>
      <c r="AC33" s="54"/>
      <c r="AD33" s="54"/>
      <c r="AE33" s="54"/>
      <c r="AF33" s="54"/>
      <c r="AG33" s="54"/>
    </row>
    <row r="34" spans="1:33" ht="21" x14ac:dyDescent="0.4">
      <c r="A34" s="54"/>
      <c r="B34" s="110" t="s">
        <v>155</v>
      </c>
      <c r="C34" s="111"/>
      <c r="D34" s="111"/>
      <c r="E34" s="111"/>
      <c r="F34" s="111"/>
      <c r="G34" s="112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54"/>
      <c r="Z34" s="54"/>
      <c r="AA34" s="54"/>
      <c r="AB34" s="54"/>
      <c r="AC34" s="54"/>
      <c r="AD34" s="54"/>
      <c r="AE34" s="54"/>
      <c r="AF34" s="54"/>
      <c r="AG34" s="54"/>
    </row>
    <row r="35" spans="1:33" ht="21" x14ac:dyDescent="0.4">
      <c r="A35" s="54"/>
      <c r="B35" s="71"/>
      <c r="C35" s="56" t="str">
        <f>B28</f>
        <v>EMAIL / WHATSAPP</v>
      </c>
      <c r="D35" s="56" t="str">
        <f>B29</f>
        <v>INTERNET / REDE SOCIAL</v>
      </c>
      <c r="E35" s="56" t="str">
        <f>B30</f>
        <v>REVISTA / JORNAL</v>
      </c>
      <c r="F35" s="56" t="str">
        <f>B31</f>
        <v>RADIO</v>
      </c>
      <c r="G35" s="72" t="str">
        <f>B32</f>
        <v>TV</v>
      </c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54"/>
      <c r="Z35" s="54"/>
      <c r="AA35" s="54"/>
      <c r="AB35" s="54"/>
      <c r="AC35" s="54"/>
      <c r="AD35" s="54"/>
      <c r="AE35" s="54"/>
      <c r="AF35" s="54"/>
      <c r="AG35" s="54"/>
    </row>
    <row r="36" spans="1:33" ht="21" x14ac:dyDescent="0.4">
      <c r="A36" s="54"/>
      <c r="B36" s="73" t="s">
        <v>136</v>
      </c>
      <c r="C36" s="58" t="s">
        <v>157</v>
      </c>
      <c r="D36" s="58" t="s">
        <v>157</v>
      </c>
      <c r="E36" s="58">
        <v>100</v>
      </c>
      <c r="F36" s="58">
        <v>30</v>
      </c>
      <c r="G36" s="74">
        <v>600</v>
      </c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54"/>
      <c r="Z36" s="54"/>
      <c r="AA36" s="54"/>
      <c r="AB36" s="54"/>
      <c r="AC36" s="54"/>
      <c r="AD36" s="54"/>
      <c r="AE36" s="54"/>
      <c r="AF36" s="54"/>
      <c r="AG36" s="54"/>
    </row>
    <row r="37" spans="1:33" ht="21" x14ac:dyDescent="0.4">
      <c r="A37" s="54"/>
      <c r="B37" s="73" t="s">
        <v>146</v>
      </c>
      <c r="C37" s="116" t="s">
        <v>170</v>
      </c>
      <c r="D37" s="117"/>
      <c r="E37" s="117"/>
      <c r="F37" s="117"/>
      <c r="G37" s="118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54"/>
      <c r="Z37" s="54"/>
      <c r="AA37" s="54"/>
      <c r="AB37" s="54"/>
      <c r="AC37" s="54"/>
      <c r="AD37" s="54"/>
      <c r="AE37" s="54"/>
      <c r="AF37" s="54"/>
      <c r="AG37" s="54"/>
    </row>
    <row r="38" spans="1:33" ht="21" x14ac:dyDescent="0.4">
      <c r="A38" s="54"/>
      <c r="B38" s="70"/>
      <c r="C38" s="67"/>
      <c r="D38" s="67"/>
      <c r="E38" s="67"/>
      <c r="F38" s="67"/>
      <c r="G38" s="68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54"/>
      <c r="Z38" s="54"/>
      <c r="AA38" s="54"/>
      <c r="AB38" s="54"/>
      <c r="AC38" s="54"/>
      <c r="AD38" s="54"/>
      <c r="AE38" s="54"/>
      <c r="AF38" s="54"/>
      <c r="AG38" s="54"/>
    </row>
    <row r="39" spans="1:33" ht="21" x14ac:dyDescent="0.4">
      <c r="A39" s="54"/>
      <c r="B39" s="110" t="s">
        <v>132</v>
      </c>
      <c r="C39" s="111"/>
      <c r="D39" s="113"/>
      <c r="E39" s="75"/>
      <c r="F39" s="81" t="s">
        <v>161</v>
      </c>
      <c r="G39" s="76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54"/>
      <c r="Z39" s="54"/>
      <c r="AA39" s="54"/>
      <c r="AB39" s="54"/>
      <c r="AC39" s="54"/>
      <c r="AD39" s="54"/>
      <c r="AE39" s="54"/>
      <c r="AF39" s="54"/>
      <c r="AG39" s="54"/>
    </row>
    <row r="40" spans="1:33" ht="21" x14ac:dyDescent="0.4">
      <c r="A40" s="54"/>
      <c r="B40" s="73" t="s">
        <v>131</v>
      </c>
      <c r="C40" s="57" t="str">
        <f>B28</f>
        <v>EMAIL / WHATSAPP</v>
      </c>
      <c r="D40" s="57" t="str">
        <f>B29</f>
        <v>INTERNET / REDE SOCIAL</v>
      </c>
      <c r="E40" s="75"/>
      <c r="F40" s="82" t="str">
        <f>B28</f>
        <v>EMAIL / WHATSAPP</v>
      </c>
      <c r="G40" s="76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54"/>
      <c r="Z40" s="54"/>
      <c r="AA40" s="54"/>
      <c r="AB40" s="54"/>
      <c r="AC40" s="54"/>
      <c r="AD40" s="54"/>
      <c r="AE40" s="54"/>
      <c r="AF40" s="54"/>
      <c r="AG40" s="54"/>
    </row>
    <row r="41" spans="1:33" ht="21" x14ac:dyDescent="0.4">
      <c r="A41" s="54"/>
      <c r="B41" s="73">
        <v>1</v>
      </c>
      <c r="C41" s="59">
        <v>150</v>
      </c>
      <c r="D41" s="59">
        <v>250</v>
      </c>
      <c r="E41" s="75"/>
      <c r="F41" s="115" t="s">
        <v>162</v>
      </c>
      <c r="G41" s="84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54"/>
      <c r="Z41" s="54"/>
      <c r="AA41" s="54"/>
      <c r="AB41" s="54"/>
      <c r="AC41" s="54"/>
      <c r="AD41" s="54"/>
      <c r="AE41" s="54"/>
      <c r="AF41" s="54"/>
      <c r="AG41" s="54"/>
    </row>
    <row r="42" spans="1:33" ht="21" x14ac:dyDescent="0.4">
      <c r="A42" s="54"/>
      <c r="B42" s="73">
        <v>4</v>
      </c>
      <c r="C42" s="59">
        <v>130</v>
      </c>
      <c r="D42" s="59">
        <v>220</v>
      </c>
      <c r="E42" s="75"/>
      <c r="F42" s="115"/>
      <c r="G42" s="76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54"/>
      <c r="Z42" s="54"/>
      <c r="AA42" s="54"/>
      <c r="AB42" s="54"/>
      <c r="AC42" s="54"/>
      <c r="AD42" s="54"/>
      <c r="AE42" s="54"/>
      <c r="AF42" s="54"/>
      <c r="AG42" s="54"/>
    </row>
    <row r="43" spans="1:33" ht="21" x14ac:dyDescent="0.4">
      <c r="A43" s="54"/>
      <c r="B43" s="73">
        <v>8</v>
      </c>
      <c r="C43" s="59">
        <v>115</v>
      </c>
      <c r="D43" s="59">
        <v>180</v>
      </c>
      <c r="E43" s="75"/>
      <c r="F43" s="83" t="str">
        <f>B31</f>
        <v>RADIO</v>
      </c>
      <c r="G43" s="76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54"/>
      <c r="Z43" s="54"/>
      <c r="AA43" s="54"/>
      <c r="AB43" s="54"/>
      <c r="AC43" s="54"/>
      <c r="AD43" s="54"/>
      <c r="AE43" s="54"/>
      <c r="AF43" s="54"/>
      <c r="AG43" s="54"/>
    </row>
    <row r="44" spans="1:33" ht="21" x14ac:dyDescent="0.4">
      <c r="A44" s="54"/>
      <c r="B44" s="73" t="s">
        <v>171</v>
      </c>
      <c r="C44" s="59">
        <v>110</v>
      </c>
      <c r="D44" s="59">
        <v>175</v>
      </c>
      <c r="E44" s="75"/>
      <c r="F44" s="75"/>
      <c r="G44" s="76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54"/>
      <c r="Z44" s="54"/>
      <c r="AA44" s="54"/>
      <c r="AB44" s="54"/>
      <c r="AC44" s="54"/>
      <c r="AD44" s="54"/>
      <c r="AE44" s="54"/>
      <c r="AF44" s="54"/>
      <c r="AG44" s="54"/>
    </row>
    <row r="45" spans="1:33" x14ac:dyDescent="0.3">
      <c r="A45" s="54"/>
      <c r="B45" s="77"/>
      <c r="C45" s="75"/>
      <c r="D45" s="75"/>
      <c r="E45" s="75"/>
      <c r="F45" s="75"/>
      <c r="G45" s="76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54"/>
      <c r="Z45" s="54"/>
      <c r="AA45" s="54"/>
      <c r="AB45" s="54"/>
      <c r="AC45" s="54"/>
      <c r="AD45" s="54"/>
      <c r="AE45" s="54"/>
      <c r="AF45" s="54"/>
      <c r="AG45" s="54"/>
    </row>
    <row r="46" spans="1:33" ht="15" thickBot="1" x14ac:dyDescent="0.35">
      <c r="A46" s="54"/>
      <c r="B46" s="78"/>
      <c r="C46" s="79"/>
      <c r="D46" s="79"/>
      <c r="E46" s="79"/>
      <c r="F46" s="79"/>
      <c r="G46" s="80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54"/>
      <c r="Z46" s="54"/>
      <c r="AA46" s="54"/>
      <c r="AB46" s="54"/>
      <c r="AC46" s="54"/>
      <c r="AD46" s="54"/>
      <c r="AE46" s="54"/>
      <c r="AF46" s="54"/>
      <c r="AG46" s="54"/>
    </row>
    <row r="47" spans="1:33" x14ac:dyDescent="0.3">
      <c r="A47" s="54"/>
      <c r="B47" s="60"/>
      <c r="C47" s="60"/>
      <c r="D47" s="60"/>
      <c r="E47" s="60"/>
      <c r="F47" s="60"/>
      <c r="G47" s="60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54"/>
      <c r="Z47" s="54"/>
      <c r="AA47" s="54"/>
      <c r="AB47" s="54"/>
      <c r="AC47" s="54"/>
      <c r="AD47" s="54"/>
      <c r="AE47" s="54"/>
      <c r="AF47" s="54"/>
      <c r="AG47" s="54"/>
    </row>
    <row r="48" spans="1:33" x14ac:dyDescent="0.3">
      <c r="A48" s="54"/>
      <c r="B48" s="60"/>
      <c r="C48" s="60"/>
      <c r="D48" s="60"/>
      <c r="E48" s="60"/>
      <c r="F48" s="60"/>
      <c r="G48" s="60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54"/>
      <c r="Z48" s="54"/>
      <c r="AA48" s="54"/>
      <c r="AB48" s="54"/>
      <c r="AC48" s="54"/>
      <c r="AD48" s="54"/>
      <c r="AE48" s="54"/>
      <c r="AF48" s="54"/>
      <c r="AG48" s="54"/>
    </row>
    <row r="49" spans="1:33" ht="15" thickBot="1" x14ac:dyDescent="0.35">
      <c r="A49" s="54"/>
      <c r="B49" s="60"/>
      <c r="C49" s="60"/>
      <c r="D49" s="60"/>
      <c r="E49" s="60"/>
      <c r="F49" s="60"/>
      <c r="G49" s="60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54"/>
      <c r="Z49" s="54"/>
      <c r="AA49" s="54"/>
      <c r="AB49" s="54"/>
      <c r="AC49" s="54"/>
      <c r="AD49" s="54"/>
      <c r="AE49" s="54"/>
      <c r="AF49" s="54"/>
      <c r="AG49" s="54"/>
    </row>
    <row r="50" spans="1:33" x14ac:dyDescent="0.3">
      <c r="A50" s="54"/>
      <c r="B50" s="104" t="s">
        <v>192</v>
      </c>
      <c r="C50" s="105"/>
      <c r="D50" s="105"/>
      <c r="E50" s="105"/>
      <c r="F50" s="105"/>
      <c r="G50" s="106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54"/>
      <c r="Z50" s="54"/>
      <c r="AA50" s="54"/>
      <c r="AB50" s="54"/>
      <c r="AC50" s="54"/>
      <c r="AD50" s="54"/>
      <c r="AE50" s="54"/>
      <c r="AF50" s="54"/>
      <c r="AG50" s="54"/>
    </row>
    <row r="51" spans="1:33" x14ac:dyDescent="0.3">
      <c r="A51" s="54"/>
      <c r="B51" s="107"/>
      <c r="C51" s="108"/>
      <c r="D51" s="108"/>
      <c r="E51" s="108"/>
      <c r="F51" s="108"/>
      <c r="G51" s="109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54"/>
      <c r="Z51" s="54"/>
      <c r="AA51" s="54"/>
      <c r="AB51" s="54"/>
      <c r="AC51" s="54"/>
      <c r="AD51" s="54"/>
      <c r="AE51" s="54"/>
      <c r="AF51" s="54"/>
      <c r="AG51" s="54"/>
    </row>
    <row r="52" spans="1:33" x14ac:dyDescent="0.3">
      <c r="A52" s="54"/>
      <c r="B52" s="107"/>
      <c r="C52" s="108"/>
      <c r="D52" s="108"/>
      <c r="E52" s="108"/>
      <c r="F52" s="108"/>
      <c r="G52" s="109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54"/>
      <c r="Z52" s="54"/>
      <c r="AA52" s="54"/>
      <c r="AB52" s="54"/>
      <c r="AC52" s="54"/>
      <c r="AD52" s="54"/>
      <c r="AE52" s="54"/>
      <c r="AF52" s="54"/>
      <c r="AG52" s="54"/>
    </row>
    <row r="53" spans="1:33" x14ac:dyDescent="0.3">
      <c r="A53" s="54"/>
      <c r="B53" s="107"/>
      <c r="C53" s="108"/>
      <c r="D53" s="108"/>
      <c r="E53" s="108"/>
      <c r="F53" s="108"/>
      <c r="G53" s="109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54"/>
      <c r="Z53" s="54"/>
      <c r="AA53" s="54"/>
      <c r="AB53" s="54"/>
      <c r="AC53" s="54"/>
      <c r="AD53" s="54"/>
      <c r="AE53" s="54"/>
      <c r="AF53" s="54"/>
      <c r="AG53" s="54"/>
    </row>
    <row r="54" spans="1:33" x14ac:dyDescent="0.3">
      <c r="A54" s="54"/>
      <c r="B54" s="107"/>
      <c r="C54" s="108"/>
      <c r="D54" s="108"/>
      <c r="E54" s="108"/>
      <c r="F54" s="108"/>
      <c r="G54" s="109"/>
      <c r="H54" s="54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54"/>
      <c r="Z54" s="54"/>
      <c r="AA54" s="54"/>
      <c r="AB54" s="54"/>
      <c r="AC54" s="54"/>
      <c r="AD54" s="54"/>
      <c r="AE54" s="54"/>
      <c r="AF54" s="54"/>
      <c r="AG54" s="54"/>
    </row>
    <row r="55" spans="1:33" x14ac:dyDescent="0.3">
      <c r="A55" s="54"/>
      <c r="B55" s="107"/>
      <c r="C55" s="108"/>
      <c r="D55" s="108"/>
      <c r="E55" s="108"/>
      <c r="F55" s="108"/>
      <c r="G55" s="109"/>
      <c r="H55" s="54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54"/>
      <c r="Z55" s="54"/>
      <c r="AA55" s="54"/>
      <c r="AB55" s="54"/>
      <c r="AC55" s="54"/>
      <c r="AD55" s="54"/>
      <c r="AE55" s="54"/>
      <c r="AF55" s="54"/>
      <c r="AG55" s="54"/>
    </row>
    <row r="56" spans="1:33" x14ac:dyDescent="0.3">
      <c r="A56" s="54"/>
      <c r="B56" s="107"/>
      <c r="C56" s="108"/>
      <c r="D56" s="108"/>
      <c r="E56" s="108"/>
      <c r="F56" s="108"/>
      <c r="G56" s="109"/>
      <c r="H56" s="54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54"/>
      <c r="Z56" s="54"/>
      <c r="AA56" s="54"/>
      <c r="AB56" s="54"/>
      <c r="AC56" s="54"/>
      <c r="AD56" s="54"/>
      <c r="AE56" s="54"/>
      <c r="AF56" s="54"/>
      <c r="AG56" s="54"/>
    </row>
    <row r="57" spans="1:33" x14ac:dyDescent="0.3">
      <c r="A57" s="54"/>
      <c r="B57" s="107"/>
      <c r="C57" s="108"/>
      <c r="D57" s="108"/>
      <c r="E57" s="108"/>
      <c r="F57" s="108"/>
      <c r="G57" s="109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</row>
    <row r="58" spans="1:33" x14ac:dyDescent="0.3">
      <c r="A58" s="54"/>
      <c r="B58" s="107"/>
      <c r="C58" s="108"/>
      <c r="D58" s="108"/>
      <c r="E58" s="108"/>
      <c r="F58" s="108"/>
      <c r="G58" s="109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</row>
    <row r="59" spans="1:33" x14ac:dyDescent="0.3">
      <c r="A59" s="54"/>
      <c r="B59" s="107"/>
      <c r="C59" s="108"/>
      <c r="D59" s="108"/>
      <c r="E59" s="108"/>
      <c r="F59" s="108"/>
      <c r="G59" s="109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</row>
    <row r="60" spans="1:33" x14ac:dyDescent="0.3">
      <c r="A60" s="54"/>
      <c r="B60" s="107"/>
      <c r="C60" s="108"/>
      <c r="D60" s="108"/>
      <c r="E60" s="108"/>
      <c r="F60" s="108"/>
      <c r="G60" s="109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</row>
    <row r="61" spans="1:33" x14ac:dyDescent="0.3">
      <c r="A61" s="54"/>
      <c r="B61" s="107"/>
      <c r="C61" s="108"/>
      <c r="D61" s="108"/>
      <c r="E61" s="108"/>
      <c r="F61" s="108"/>
      <c r="G61" s="109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</row>
    <row r="62" spans="1:33" x14ac:dyDescent="0.3">
      <c r="A62" s="54"/>
      <c r="B62" s="107"/>
      <c r="C62" s="108"/>
      <c r="D62" s="108"/>
      <c r="E62" s="108"/>
      <c r="F62" s="108"/>
      <c r="G62" s="109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</row>
    <row r="63" spans="1:33" x14ac:dyDescent="0.3">
      <c r="A63" s="54"/>
      <c r="B63" s="107"/>
      <c r="C63" s="108"/>
      <c r="D63" s="108"/>
      <c r="E63" s="108"/>
      <c r="F63" s="108"/>
      <c r="G63" s="109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</row>
    <row r="64" spans="1:33" x14ac:dyDescent="0.3">
      <c r="A64" s="54"/>
      <c r="B64" s="107"/>
      <c r="C64" s="108"/>
      <c r="D64" s="108"/>
      <c r="E64" s="108"/>
      <c r="F64" s="108"/>
      <c r="G64" s="109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</row>
    <row r="65" spans="1:33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</row>
    <row r="66" spans="1:33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</row>
    <row r="67" spans="1:33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</row>
    <row r="68" spans="1:33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</row>
    <row r="69" spans="1:33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</row>
    <row r="70" spans="1:33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</row>
    <row r="71" spans="1:33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</row>
    <row r="72" spans="1:33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</row>
    <row r="73" spans="1:33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</row>
    <row r="74" spans="1:33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</row>
    <row r="75" spans="1:33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</row>
    <row r="76" spans="1:33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</row>
    <row r="77" spans="1:33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</row>
    <row r="78" spans="1:33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</row>
    <row r="79" spans="1:33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</row>
    <row r="80" spans="1:33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</row>
    <row r="81" spans="1:33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</row>
    <row r="82" spans="1:33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</row>
    <row r="83" spans="1:33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</row>
    <row r="84" spans="1:33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</row>
    <row r="85" spans="1:33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</row>
    <row r="86" spans="1:33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</row>
    <row r="87" spans="1:33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</row>
    <row r="88" spans="1:33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</row>
    <row r="89" spans="1:33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</row>
    <row r="90" spans="1:33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</row>
    <row r="91" spans="1:33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</row>
    <row r="92" spans="1:33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</row>
    <row r="93" spans="1:33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</row>
    <row r="94" spans="1:33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</row>
    <row r="95" spans="1:33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</row>
    <row r="96" spans="1:33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</row>
    <row r="97" spans="1:33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</row>
    <row r="98" spans="1:33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</row>
    <row r="99" spans="1:33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</row>
    <row r="100" spans="1:33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</row>
    <row r="101" spans="1:33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</row>
    <row r="102" spans="1:33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</row>
    <row r="103" spans="1:33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</row>
    <row r="104" spans="1:33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</row>
    <row r="105" spans="1:33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</row>
    <row r="106" spans="1:33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</row>
    <row r="107" spans="1:33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</row>
    <row r="108" spans="1:33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</row>
    <row r="109" spans="1:33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</row>
    <row r="110" spans="1:33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</row>
    <row r="111" spans="1:33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</row>
    <row r="112" spans="1:33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</row>
    <row r="113" spans="1:33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</row>
    <row r="114" spans="1:33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</row>
    <row r="115" spans="1:33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</row>
    <row r="116" spans="1:33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</row>
    <row r="117" spans="1:33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</row>
    <row r="118" spans="1:33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</row>
    <row r="119" spans="1:33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</row>
    <row r="120" spans="1:33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</row>
    <row r="121" spans="1:33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</row>
    <row r="122" spans="1:33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</row>
    <row r="123" spans="1:33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</row>
    <row r="124" spans="1:33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</row>
    <row r="125" spans="1:33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</row>
    <row r="126" spans="1:33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</row>
    <row r="127" spans="1:33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</row>
    <row r="128" spans="1:33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</row>
    <row r="129" spans="1:33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</row>
    <row r="130" spans="1:33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</row>
    <row r="131" spans="1:33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</row>
    <row r="132" spans="1:33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</row>
  </sheetData>
  <mergeCells count="6">
    <mergeCell ref="B50:G64"/>
    <mergeCell ref="B34:G34"/>
    <mergeCell ref="B39:D39"/>
    <mergeCell ref="B11:G25"/>
    <mergeCell ref="F41:F42"/>
    <mergeCell ref="C37:G37"/>
  </mergeCells>
  <pageMargins left="0.7" right="0.7" top="0.75" bottom="0.75" header="0.3" footer="0.3"/>
  <pageSetup paperSize="9" scale="22" orientation="landscape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N1:X127"/>
  <sheetViews>
    <sheetView zoomScale="75" zoomScaleNormal="75" workbookViewId="0">
      <selection activeCell="N18" sqref="N18"/>
    </sheetView>
  </sheetViews>
  <sheetFormatPr defaultRowHeight="14.4" x14ac:dyDescent="0.3"/>
  <cols>
    <col min="14" max="14" width="13.88671875" bestFit="1" customWidth="1"/>
  </cols>
  <sheetData>
    <row r="1" spans="14:24" x14ac:dyDescent="0.3">
      <c r="W1" s="136" t="s">
        <v>313</v>
      </c>
      <c r="X1" s="136"/>
    </row>
    <row r="2" spans="14:24" x14ac:dyDescent="0.3">
      <c r="W2" s="136" t="s">
        <v>314</v>
      </c>
      <c r="X2" s="136"/>
    </row>
    <row r="3" spans="14:24" x14ac:dyDescent="0.3">
      <c r="N3" s="136" t="s">
        <v>336</v>
      </c>
      <c r="O3" s="136"/>
      <c r="W3" t="s">
        <v>315</v>
      </c>
      <c r="X3">
        <v>1</v>
      </c>
    </row>
    <row r="4" spans="14:24" x14ac:dyDescent="0.3">
      <c r="N4" t="s">
        <v>34</v>
      </c>
      <c r="O4">
        <v>1861.0998557107164</v>
      </c>
      <c r="W4" t="s">
        <v>316</v>
      </c>
      <c r="X4">
        <v>2</v>
      </c>
    </row>
    <row r="5" spans="14:24" x14ac:dyDescent="0.3">
      <c r="N5" t="s">
        <v>302</v>
      </c>
      <c r="O5">
        <v>5567.1891621999939</v>
      </c>
      <c r="W5" t="s">
        <v>317</v>
      </c>
      <c r="X5">
        <v>14</v>
      </c>
    </row>
    <row r="6" spans="14:24" x14ac:dyDescent="0.3">
      <c r="N6" t="s">
        <v>303</v>
      </c>
      <c r="O6">
        <v>6644.7744452436236</v>
      </c>
      <c r="W6" t="s">
        <v>318</v>
      </c>
      <c r="X6">
        <v>15</v>
      </c>
    </row>
    <row r="7" spans="14:24" x14ac:dyDescent="0.3">
      <c r="N7" t="s">
        <v>304</v>
      </c>
      <c r="O7">
        <v>8043.3790735619014</v>
      </c>
      <c r="W7" t="s">
        <v>319</v>
      </c>
      <c r="X7">
        <v>31</v>
      </c>
    </row>
    <row r="8" spans="14:24" x14ac:dyDescent="0.3">
      <c r="N8" t="s">
        <v>32</v>
      </c>
      <c r="O8">
        <v>8013.4188653780202</v>
      </c>
      <c r="W8" t="s">
        <v>320</v>
      </c>
      <c r="X8">
        <v>52</v>
      </c>
    </row>
    <row r="9" spans="14:24" x14ac:dyDescent="0.3">
      <c r="N9" t="s">
        <v>305</v>
      </c>
      <c r="O9">
        <v>9268.2593138893408</v>
      </c>
      <c r="W9" t="s">
        <v>321</v>
      </c>
      <c r="X9">
        <v>74</v>
      </c>
    </row>
    <row r="10" spans="14:24" x14ac:dyDescent="0.3">
      <c r="N10" t="s">
        <v>306</v>
      </c>
      <c r="O10">
        <v>10547.505812461692</v>
      </c>
      <c r="W10" t="s">
        <v>322</v>
      </c>
      <c r="X10">
        <v>80</v>
      </c>
    </row>
    <row r="11" spans="14:24" x14ac:dyDescent="0.3">
      <c r="N11" t="s">
        <v>35</v>
      </c>
      <c r="O11">
        <v>14436.146515689563</v>
      </c>
      <c r="W11" t="s">
        <v>323</v>
      </c>
      <c r="X11">
        <v>96</v>
      </c>
    </row>
    <row r="12" spans="14:24" x14ac:dyDescent="0.3">
      <c r="N12" t="s">
        <v>307</v>
      </c>
      <c r="O12">
        <v>3647688.2301265821</v>
      </c>
      <c r="W12" t="s">
        <v>324</v>
      </c>
      <c r="X12">
        <v>122</v>
      </c>
    </row>
    <row r="13" spans="14:24" x14ac:dyDescent="0.3">
      <c r="N13" t="s">
        <v>308</v>
      </c>
      <c r="O13">
        <v>1909.892203797529</v>
      </c>
      <c r="W13" t="s">
        <v>325</v>
      </c>
      <c r="X13">
        <v>122</v>
      </c>
    </row>
    <row r="14" spans="14:24" x14ac:dyDescent="0.3">
      <c r="W14" t="s">
        <v>326</v>
      </c>
      <c r="X14">
        <v>114</v>
      </c>
    </row>
    <row r="15" spans="14:24" x14ac:dyDescent="0.3">
      <c r="W15" t="s">
        <v>327</v>
      </c>
      <c r="X15">
        <v>84</v>
      </c>
    </row>
    <row r="16" spans="14:24" x14ac:dyDescent="0.3">
      <c r="W16" t="s">
        <v>328</v>
      </c>
      <c r="X16">
        <v>62</v>
      </c>
    </row>
    <row r="17" spans="23:24" x14ac:dyDescent="0.3">
      <c r="W17" t="s">
        <v>329</v>
      </c>
      <c r="X17">
        <v>60</v>
      </c>
    </row>
    <row r="18" spans="23:24" x14ac:dyDescent="0.3">
      <c r="W18" t="s">
        <v>330</v>
      </c>
      <c r="X18">
        <v>37</v>
      </c>
    </row>
    <row r="19" spans="23:24" x14ac:dyDescent="0.3">
      <c r="W19" t="s">
        <v>331</v>
      </c>
      <c r="X19">
        <v>14</v>
      </c>
    </row>
    <row r="20" spans="23:24" x14ac:dyDescent="0.3">
      <c r="W20" t="s">
        <v>332</v>
      </c>
      <c r="X20">
        <v>11</v>
      </c>
    </row>
    <row r="21" spans="23:24" x14ac:dyDescent="0.3">
      <c r="W21" t="s">
        <v>333</v>
      </c>
      <c r="X21">
        <v>5</v>
      </c>
    </row>
    <row r="22" spans="23:24" x14ac:dyDescent="0.3">
      <c r="W22" t="s">
        <v>334</v>
      </c>
      <c r="X22">
        <v>1</v>
      </c>
    </row>
    <row r="23" spans="23:24" x14ac:dyDescent="0.3">
      <c r="W23">
        <f>SUM($W$3:$W$22)</f>
        <v>0</v>
      </c>
      <c r="X23">
        <f>SUM($X$3:$X$22)</f>
        <v>997</v>
      </c>
    </row>
    <row r="25" spans="23:24" x14ac:dyDescent="0.3">
      <c r="W25" s="136" t="s">
        <v>335</v>
      </c>
      <c r="X25" s="136"/>
    </row>
    <row r="26" spans="23:24" x14ac:dyDescent="0.3">
      <c r="W26" s="136" t="s">
        <v>314</v>
      </c>
      <c r="X26" s="136"/>
    </row>
    <row r="27" spans="23:24" x14ac:dyDescent="0.3">
      <c r="W27">
        <v>1861.0998557107164</v>
      </c>
      <c r="X27">
        <v>9.99000999000999E-4</v>
      </c>
    </row>
    <row r="28" spans="23:24" x14ac:dyDescent="0.3">
      <c r="W28">
        <v>3619.146042763593</v>
      </c>
      <c r="X28">
        <v>9.99000999000999E-3</v>
      </c>
    </row>
    <row r="29" spans="23:24" x14ac:dyDescent="0.3">
      <c r="W29">
        <v>4005.7826511021362</v>
      </c>
      <c r="X29">
        <v>1.998001998001998E-2</v>
      </c>
    </row>
    <row r="30" spans="23:24" x14ac:dyDescent="0.3">
      <c r="W30">
        <v>4315.0904737264646</v>
      </c>
      <c r="X30">
        <v>2.9970029970029972E-2</v>
      </c>
    </row>
    <row r="31" spans="23:24" x14ac:dyDescent="0.3">
      <c r="W31">
        <v>4678.2054805271819</v>
      </c>
      <c r="X31">
        <v>3.996003996003996E-2</v>
      </c>
    </row>
    <row r="32" spans="23:24" x14ac:dyDescent="0.3">
      <c r="W32">
        <v>4942.7579820751762</v>
      </c>
      <c r="X32">
        <v>4.9950049950049952E-2</v>
      </c>
    </row>
    <row r="33" spans="23:24" x14ac:dyDescent="0.3">
      <c r="W33">
        <v>5069.778640805227</v>
      </c>
      <c r="X33">
        <v>5.9940059940059943E-2</v>
      </c>
    </row>
    <row r="34" spans="23:24" x14ac:dyDescent="0.3">
      <c r="W34">
        <v>5190.5035897470434</v>
      </c>
      <c r="X34">
        <v>6.9930069930069935E-2</v>
      </c>
    </row>
    <row r="35" spans="23:24" x14ac:dyDescent="0.3">
      <c r="W35">
        <v>5326.3735341123565</v>
      </c>
      <c r="X35">
        <v>7.992007992007992E-2</v>
      </c>
    </row>
    <row r="36" spans="23:24" x14ac:dyDescent="0.3">
      <c r="W36">
        <v>5422.9611985617321</v>
      </c>
      <c r="X36">
        <v>8.9910089910089905E-2</v>
      </c>
    </row>
    <row r="37" spans="23:24" x14ac:dyDescent="0.3">
      <c r="W37">
        <v>5566.2736114520631</v>
      </c>
      <c r="X37">
        <v>9.9900099900099903E-2</v>
      </c>
    </row>
    <row r="38" spans="23:24" x14ac:dyDescent="0.3">
      <c r="W38">
        <v>5640.8669971136551</v>
      </c>
      <c r="X38">
        <v>0.10989010989010989</v>
      </c>
    </row>
    <row r="39" spans="23:24" x14ac:dyDescent="0.3">
      <c r="W39">
        <v>5706.6682258743413</v>
      </c>
      <c r="X39">
        <v>0.11988011988011989</v>
      </c>
    </row>
    <row r="40" spans="23:24" x14ac:dyDescent="0.3">
      <c r="W40">
        <v>5757.1177807718332</v>
      </c>
      <c r="X40">
        <v>0.12987012987012986</v>
      </c>
    </row>
    <row r="41" spans="23:24" x14ac:dyDescent="0.3">
      <c r="W41">
        <v>5893.7767312574606</v>
      </c>
      <c r="X41">
        <v>0.13986013986013987</v>
      </c>
    </row>
    <row r="42" spans="23:24" x14ac:dyDescent="0.3">
      <c r="W42">
        <v>5969.4795925306153</v>
      </c>
      <c r="X42">
        <v>0.14985014985014986</v>
      </c>
    </row>
    <row r="43" spans="23:24" x14ac:dyDescent="0.3">
      <c r="W43">
        <v>6048.7983027073442</v>
      </c>
      <c r="X43">
        <v>0.15984015984015984</v>
      </c>
    </row>
    <row r="44" spans="23:24" x14ac:dyDescent="0.3">
      <c r="W44">
        <v>6116.2795476184474</v>
      </c>
      <c r="X44">
        <v>0.16983016983016982</v>
      </c>
    </row>
    <row r="45" spans="23:24" x14ac:dyDescent="0.3">
      <c r="W45">
        <v>6169.6701436933217</v>
      </c>
      <c r="X45">
        <v>0.17982017982017981</v>
      </c>
    </row>
    <row r="46" spans="23:24" x14ac:dyDescent="0.3">
      <c r="W46">
        <v>6240.7155631513342</v>
      </c>
      <c r="X46">
        <v>0.18981018981018982</v>
      </c>
    </row>
    <row r="47" spans="23:24" x14ac:dyDescent="0.3">
      <c r="W47">
        <v>6321.3746720207264</v>
      </c>
      <c r="X47">
        <v>0.19980019980019981</v>
      </c>
    </row>
    <row r="48" spans="23:24" x14ac:dyDescent="0.3">
      <c r="W48">
        <v>6399.9931565658262</v>
      </c>
      <c r="X48">
        <v>0.20979020979020979</v>
      </c>
    </row>
    <row r="49" spans="23:24" x14ac:dyDescent="0.3">
      <c r="W49">
        <v>6450.3644657801487</v>
      </c>
      <c r="X49">
        <v>0.21978021978021978</v>
      </c>
    </row>
    <row r="50" spans="23:24" x14ac:dyDescent="0.3">
      <c r="W50">
        <v>6510.230187385062</v>
      </c>
      <c r="X50">
        <v>0.22977022977022976</v>
      </c>
    </row>
    <row r="51" spans="23:24" x14ac:dyDescent="0.3">
      <c r="W51">
        <v>6594.0029366436065</v>
      </c>
      <c r="X51">
        <v>0.23976023976023977</v>
      </c>
    </row>
    <row r="52" spans="23:24" x14ac:dyDescent="0.3">
      <c r="W52">
        <v>6640.8380839129877</v>
      </c>
      <c r="X52">
        <v>0.24975024975024976</v>
      </c>
    </row>
    <row r="53" spans="23:24" x14ac:dyDescent="0.3">
      <c r="W53">
        <v>6724.8677636907742</v>
      </c>
      <c r="X53">
        <v>0.25974025974025972</v>
      </c>
    </row>
    <row r="54" spans="23:24" x14ac:dyDescent="0.3">
      <c r="W54">
        <v>6834.0120833013998</v>
      </c>
      <c r="X54">
        <v>0.26973026973026976</v>
      </c>
    </row>
    <row r="55" spans="23:24" x14ac:dyDescent="0.3">
      <c r="W55">
        <v>6881.9040504353088</v>
      </c>
      <c r="X55">
        <v>0.27972027972027974</v>
      </c>
    </row>
    <row r="56" spans="23:24" x14ac:dyDescent="0.3">
      <c r="W56">
        <v>6934.5178208324014</v>
      </c>
      <c r="X56">
        <v>0.28971028971028973</v>
      </c>
    </row>
    <row r="57" spans="23:24" x14ac:dyDescent="0.3">
      <c r="W57">
        <v>7005.0629127268057</v>
      </c>
      <c r="X57">
        <v>0.29970029970029971</v>
      </c>
    </row>
    <row r="58" spans="23:24" x14ac:dyDescent="0.3">
      <c r="W58">
        <v>7083.6064798323023</v>
      </c>
      <c r="X58">
        <v>0.3096903096903097</v>
      </c>
    </row>
    <row r="59" spans="23:24" x14ac:dyDescent="0.3">
      <c r="W59">
        <v>7150.9484119544613</v>
      </c>
      <c r="X59">
        <v>0.31968031968031968</v>
      </c>
    </row>
    <row r="60" spans="23:24" x14ac:dyDescent="0.3">
      <c r="W60">
        <v>7205.2976524373171</v>
      </c>
      <c r="X60">
        <v>0.32967032967032966</v>
      </c>
    </row>
    <row r="61" spans="23:24" x14ac:dyDescent="0.3">
      <c r="W61">
        <v>7263.2647977222687</v>
      </c>
      <c r="X61">
        <v>0.33966033966033965</v>
      </c>
    </row>
    <row r="62" spans="23:24" x14ac:dyDescent="0.3">
      <c r="W62">
        <v>7345.7946957821805</v>
      </c>
      <c r="X62">
        <v>0.34965034965034963</v>
      </c>
    </row>
    <row r="63" spans="23:24" x14ac:dyDescent="0.3">
      <c r="W63">
        <v>7378.9668332583551</v>
      </c>
      <c r="X63">
        <v>0.35964035964035962</v>
      </c>
    </row>
    <row r="64" spans="23:24" x14ac:dyDescent="0.3">
      <c r="W64">
        <v>7420.3943274136254</v>
      </c>
      <c r="X64">
        <v>0.3696303696303696</v>
      </c>
    </row>
    <row r="65" spans="23:24" x14ac:dyDescent="0.3">
      <c r="W65">
        <v>7477.8372754318971</v>
      </c>
      <c r="X65">
        <v>0.37962037962037964</v>
      </c>
    </row>
    <row r="66" spans="23:24" x14ac:dyDescent="0.3">
      <c r="W66">
        <v>7515.3606731286254</v>
      </c>
      <c r="X66">
        <v>0.38961038961038963</v>
      </c>
    </row>
    <row r="67" spans="23:24" x14ac:dyDescent="0.3">
      <c r="W67">
        <v>7589.9667011708862</v>
      </c>
      <c r="X67">
        <v>0.39960039960039961</v>
      </c>
    </row>
    <row r="68" spans="23:24" x14ac:dyDescent="0.3">
      <c r="W68">
        <v>7630.9384427893201</v>
      </c>
      <c r="X68">
        <v>0.4095904095904096</v>
      </c>
    </row>
    <row r="69" spans="23:24" x14ac:dyDescent="0.3">
      <c r="W69">
        <v>7661.4165198430273</v>
      </c>
      <c r="X69">
        <v>0.41958041958041958</v>
      </c>
    </row>
    <row r="70" spans="23:24" x14ac:dyDescent="0.3">
      <c r="W70">
        <v>7711.3682298530157</v>
      </c>
      <c r="X70">
        <v>0.42957042957042957</v>
      </c>
    </row>
    <row r="71" spans="23:24" x14ac:dyDescent="0.3">
      <c r="W71">
        <v>7756.8134032336902</v>
      </c>
      <c r="X71">
        <v>0.43956043956043955</v>
      </c>
    </row>
    <row r="72" spans="23:24" x14ac:dyDescent="0.3">
      <c r="W72">
        <v>7806.644539990566</v>
      </c>
      <c r="X72">
        <v>0.44955044955044954</v>
      </c>
    </row>
    <row r="73" spans="23:24" x14ac:dyDescent="0.3">
      <c r="W73">
        <v>7875.6490311439484</v>
      </c>
      <c r="X73">
        <v>0.45954045954045952</v>
      </c>
    </row>
    <row r="74" spans="23:24" x14ac:dyDescent="0.3">
      <c r="W74">
        <v>7913.7600804690846</v>
      </c>
      <c r="X74">
        <v>0.46953046953046951</v>
      </c>
    </row>
    <row r="75" spans="23:24" x14ac:dyDescent="0.3">
      <c r="W75">
        <v>7950.8759442926057</v>
      </c>
      <c r="X75">
        <v>0.47952047952047955</v>
      </c>
    </row>
    <row r="76" spans="23:24" x14ac:dyDescent="0.3">
      <c r="W76">
        <v>7981.6646323457462</v>
      </c>
      <c r="X76">
        <v>0.48951048951048953</v>
      </c>
    </row>
    <row r="77" spans="23:24" x14ac:dyDescent="0.3">
      <c r="W77">
        <v>8036.5503369742109</v>
      </c>
      <c r="X77">
        <v>0.49950049950049952</v>
      </c>
    </row>
    <row r="78" spans="23:24" x14ac:dyDescent="0.3">
      <c r="W78">
        <v>8072.8743808530153</v>
      </c>
      <c r="X78">
        <v>0.50949050949050945</v>
      </c>
    </row>
    <row r="79" spans="23:24" x14ac:dyDescent="0.3">
      <c r="W79">
        <v>8122.9570855010879</v>
      </c>
      <c r="X79">
        <v>0.51948051948051943</v>
      </c>
    </row>
    <row r="80" spans="23:24" x14ac:dyDescent="0.3">
      <c r="W80">
        <v>8177.4710065931686</v>
      </c>
      <c r="X80">
        <v>0.52947052947052942</v>
      </c>
    </row>
    <row r="81" spans="23:24" x14ac:dyDescent="0.3">
      <c r="W81">
        <v>8214.0609737860086</v>
      </c>
      <c r="X81">
        <v>0.53946053946053951</v>
      </c>
    </row>
    <row r="82" spans="23:24" x14ac:dyDescent="0.3">
      <c r="W82">
        <v>8290.5974388441427</v>
      </c>
      <c r="X82">
        <v>0.5494505494505495</v>
      </c>
    </row>
    <row r="83" spans="23:24" x14ac:dyDescent="0.3">
      <c r="W83">
        <v>8324.7478569981249</v>
      </c>
      <c r="X83">
        <v>0.55944055944055948</v>
      </c>
    </row>
    <row r="84" spans="23:24" x14ac:dyDescent="0.3">
      <c r="W84">
        <v>8369.9687847045079</v>
      </c>
      <c r="X84">
        <v>0.56943056943056947</v>
      </c>
    </row>
    <row r="85" spans="23:24" x14ac:dyDescent="0.3">
      <c r="W85">
        <v>8408.5785438576677</v>
      </c>
      <c r="X85">
        <v>0.57942057942057945</v>
      </c>
    </row>
    <row r="86" spans="23:24" x14ac:dyDescent="0.3">
      <c r="W86">
        <v>8445.4791972817438</v>
      </c>
      <c r="X86">
        <v>0.58941058941058944</v>
      </c>
    </row>
    <row r="87" spans="23:24" x14ac:dyDescent="0.3">
      <c r="W87">
        <v>8508.0821933504485</v>
      </c>
      <c r="X87">
        <v>0.59940059940059942</v>
      </c>
    </row>
    <row r="88" spans="23:24" x14ac:dyDescent="0.3">
      <c r="W88">
        <v>8541.3441228343399</v>
      </c>
      <c r="X88">
        <v>0.60939060939060941</v>
      </c>
    </row>
    <row r="89" spans="23:24" x14ac:dyDescent="0.3">
      <c r="W89">
        <v>8603.0183446320934</v>
      </c>
      <c r="X89">
        <v>0.61938061938061939</v>
      </c>
    </row>
    <row r="90" spans="23:24" x14ac:dyDescent="0.3">
      <c r="W90">
        <v>8658.3589065328379</v>
      </c>
      <c r="X90">
        <v>0.62937062937062938</v>
      </c>
    </row>
    <row r="91" spans="23:24" x14ac:dyDescent="0.3">
      <c r="W91">
        <v>8737.7030097592087</v>
      </c>
      <c r="X91">
        <v>0.63936063936063936</v>
      </c>
    </row>
    <row r="92" spans="23:24" x14ac:dyDescent="0.3">
      <c r="W92">
        <v>8773.6867921392895</v>
      </c>
      <c r="X92">
        <v>0.64935064935064934</v>
      </c>
    </row>
    <row r="93" spans="23:24" x14ac:dyDescent="0.3">
      <c r="W93">
        <v>8819.7937561684339</v>
      </c>
      <c r="X93">
        <v>0.65934065934065933</v>
      </c>
    </row>
    <row r="94" spans="23:24" x14ac:dyDescent="0.3">
      <c r="W94">
        <v>8881.5517745453144</v>
      </c>
      <c r="X94">
        <v>0.66933066933066931</v>
      </c>
    </row>
    <row r="95" spans="23:24" x14ac:dyDescent="0.3">
      <c r="W95">
        <v>8927.0200524454049</v>
      </c>
      <c r="X95">
        <v>0.6793206793206793</v>
      </c>
    </row>
    <row r="96" spans="23:24" x14ac:dyDescent="0.3">
      <c r="W96">
        <v>8974.8470099282458</v>
      </c>
      <c r="X96">
        <v>0.68931068931068928</v>
      </c>
    </row>
    <row r="97" spans="23:24" x14ac:dyDescent="0.3">
      <c r="W97">
        <v>9013.5735921774358</v>
      </c>
      <c r="X97">
        <v>0.69930069930069927</v>
      </c>
    </row>
    <row r="98" spans="23:24" x14ac:dyDescent="0.3">
      <c r="W98">
        <v>9048.4973989212431</v>
      </c>
      <c r="X98">
        <v>0.70929070929070925</v>
      </c>
    </row>
    <row r="99" spans="23:24" x14ac:dyDescent="0.3">
      <c r="W99">
        <v>9084.8924378674037</v>
      </c>
      <c r="X99">
        <v>0.71928071928071924</v>
      </c>
    </row>
    <row r="100" spans="23:24" x14ac:dyDescent="0.3">
      <c r="W100">
        <v>9124.434417757031</v>
      </c>
      <c r="X100">
        <v>0.72927072927072922</v>
      </c>
    </row>
    <row r="101" spans="23:24" x14ac:dyDescent="0.3">
      <c r="W101">
        <v>9199.2765487181605</v>
      </c>
      <c r="X101">
        <v>0.73926073926073921</v>
      </c>
    </row>
    <row r="102" spans="23:24" x14ac:dyDescent="0.3">
      <c r="W102">
        <v>9253.4890713425702</v>
      </c>
      <c r="X102">
        <v>0.7492507492507493</v>
      </c>
    </row>
    <row r="103" spans="23:24" x14ac:dyDescent="0.3">
      <c r="W103">
        <v>9336.0572672982416</v>
      </c>
      <c r="X103">
        <v>0.75924075924075929</v>
      </c>
    </row>
    <row r="104" spans="23:24" x14ac:dyDescent="0.3">
      <c r="W104">
        <v>9391.5279316447195</v>
      </c>
      <c r="X104">
        <v>0.76923076923076927</v>
      </c>
    </row>
    <row r="105" spans="23:24" x14ac:dyDescent="0.3">
      <c r="W105">
        <v>9463.3213504681535</v>
      </c>
      <c r="X105">
        <v>0.77922077922077926</v>
      </c>
    </row>
    <row r="106" spans="23:24" x14ac:dyDescent="0.3">
      <c r="W106">
        <v>9546.7848669561045</v>
      </c>
      <c r="X106">
        <v>0.78921078921078924</v>
      </c>
    </row>
    <row r="107" spans="23:24" x14ac:dyDescent="0.3">
      <c r="W107">
        <v>9596.7842319504816</v>
      </c>
      <c r="X107">
        <v>0.79920079920079923</v>
      </c>
    </row>
    <row r="108" spans="23:24" x14ac:dyDescent="0.3">
      <c r="W108">
        <v>9713.3190292831641</v>
      </c>
      <c r="X108">
        <v>0.80919080919080921</v>
      </c>
    </row>
    <row r="109" spans="23:24" x14ac:dyDescent="0.3">
      <c r="W109">
        <v>9766.5032636893011</v>
      </c>
      <c r="X109">
        <v>0.8191808191808192</v>
      </c>
    </row>
    <row r="110" spans="23:24" x14ac:dyDescent="0.3">
      <c r="W110">
        <v>9850.6118358309886</v>
      </c>
      <c r="X110">
        <v>0.82917082917082918</v>
      </c>
    </row>
    <row r="111" spans="23:24" x14ac:dyDescent="0.3">
      <c r="W111">
        <v>9954.3593560652753</v>
      </c>
      <c r="X111">
        <v>0.83916083916083917</v>
      </c>
    </row>
    <row r="112" spans="23:24" x14ac:dyDescent="0.3">
      <c r="W112">
        <v>10018.604284731115</v>
      </c>
      <c r="X112">
        <v>0.84915084915084915</v>
      </c>
    </row>
    <row r="113" spans="23:24" x14ac:dyDescent="0.3">
      <c r="W113">
        <v>10126.104787748405</v>
      </c>
      <c r="X113">
        <v>0.85914085914085914</v>
      </c>
    </row>
    <row r="114" spans="23:24" x14ac:dyDescent="0.3">
      <c r="W114">
        <v>10223.052470041661</v>
      </c>
      <c r="X114">
        <v>0.86913086913086912</v>
      </c>
    </row>
    <row r="115" spans="23:24" x14ac:dyDescent="0.3">
      <c r="W115">
        <v>10353.825685203556</v>
      </c>
      <c r="X115">
        <v>0.87912087912087911</v>
      </c>
    </row>
    <row r="116" spans="23:24" x14ac:dyDescent="0.3">
      <c r="W116">
        <v>10428.145416193733</v>
      </c>
      <c r="X116">
        <v>0.88911088911088909</v>
      </c>
    </row>
    <row r="117" spans="23:24" x14ac:dyDescent="0.3">
      <c r="W117">
        <v>10533.525563514508</v>
      </c>
      <c r="X117">
        <v>0.89910089910089908</v>
      </c>
    </row>
    <row r="118" spans="23:24" x14ac:dyDescent="0.3">
      <c r="W118">
        <v>10614.615155025604</v>
      </c>
      <c r="X118">
        <v>0.90909090909090906</v>
      </c>
    </row>
    <row r="119" spans="23:24" x14ac:dyDescent="0.3">
      <c r="W119">
        <v>10714.793674636698</v>
      </c>
      <c r="X119">
        <v>0.91908091908091905</v>
      </c>
    </row>
    <row r="120" spans="23:24" x14ac:dyDescent="0.3">
      <c r="W120">
        <v>10810.280091472803</v>
      </c>
      <c r="X120">
        <v>0.92907092907092903</v>
      </c>
    </row>
    <row r="121" spans="23:24" x14ac:dyDescent="0.3">
      <c r="W121">
        <v>10931.110390546193</v>
      </c>
      <c r="X121">
        <v>0.93906093906093902</v>
      </c>
    </row>
    <row r="122" spans="23:24" x14ac:dyDescent="0.3">
      <c r="W122">
        <v>11096.450297980286</v>
      </c>
      <c r="X122">
        <v>0.949050949050949</v>
      </c>
    </row>
    <row r="123" spans="23:24" x14ac:dyDescent="0.3">
      <c r="W123">
        <v>11244.490405033535</v>
      </c>
      <c r="X123">
        <v>0.9590409590409591</v>
      </c>
    </row>
    <row r="124" spans="23:24" x14ac:dyDescent="0.3">
      <c r="W124">
        <v>11485.415496457679</v>
      </c>
      <c r="X124">
        <v>0.96903096903096908</v>
      </c>
    </row>
    <row r="125" spans="23:24" x14ac:dyDescent="0.3">
      <c r="W125">
        <v>11887.109037653543</v>
      </c>
      <c r="X125">
        <v>0.97902097902097907</v>
      </c>
    </row>
    <row r="126" spans="23:24" x14ac:dyDescent="0.3">
      <c r="W126">
        <v>14436.146515689563</v>
      </c>
      <c r="X126">
        <v>0.99900099900099903</v>
      </c>
    </row>
    <row r="127" spans="23:24" x14ac:dyDescent="0.3">
      <c r="W127">
        <f>SUM($W$27:$W$126)</f>
        <v>796694.87619031884</v>
      </c>
      <c r="X127">
        <f>SUM($X$27:$X$126)</f>
        <v>49.461538461538467</v>
      </c>
    </row>
  </sheetData>
  <mergeCells count="5">
    <mergeCell ref="W1:X1"/>
    <mergeCell ref="W2:X2"/>
    <mergeCell ref="W25:X25"/>
    <mergeCell ref="W26:X26"/>
    <mergeCell ref="N3:O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N1:AF127"/>
  <sheetViews>
    <sheetView zoomScale="75" zoomScaleNormal="75" workbookViewId="0"/>
  </sheetViews>
  <sheetFormatPr defaultRowHeight="14.4" x14ac:dyDescent="0.3"/>
  <cols>
    <col min="14" max="14" width="13.88671875" bestFit="1" customWidth="1"/>
  </cols>
  <sheetData>
    <row r="1" spans="14:32" x14ac:dyDescent="0.3">
      <c r="W1" s="136" t="s">
        <v>194</v>
      </c>
      <c r="X1" s="136"/>
      <c r="Y1" s="136"/>
      <c r="Z1" s="136"/>
      <c r="AA1" s="136"/>
      <c r="AB1" s="136"/>
      <c r="AC1" s="136"/>
      <c r="AD1" s="136"/>
      <c r="AE1" s="136"/>
      <c r="AF1" s="136"/>
    </row>
    <row r="2" spans="14:32" x14ac:dyDescent="0.3">
      <c r="W2" s="136" t="s">
        <v>195</v>
      </c>
      <c r="X2" s="136"/>
      <c r="Y2" s="136" t="s">
        <v>216</v>
      </c>
      <c r="Z2" s="136"/>
      <c r="AA2" s="136" t="s">
        <v>237</v>
      </c>
      <c r="AB2" s="136"/>
      <c r="AC2" s="136" t="s">
        <v>258</v>
      </c>
      <c r="AD2" s="136"/>
      <c r="AE2" s="136" t="s">
        <v>279</v>
      </c>
      <c r="AF2" s="136"/>
    </row>
    <row r="3" spans="14:32" x14ac:dyDescent="0.3">
      <c r="N3" s="136" t="s">
        <v>301</v>
      </c>
      <c r="O3" s="136"/>
      <c r="W3" t="s">
        <v>196</v>
      </c>
      <c r="X3">
        <v>51</v>
      </c>
      <c r="Y3" t="s">
        <v>217</v>
      </c>
      <c r="Z3">
        <v>4</v>
      </c>
      <c r="AA3" t="s">
        <v>238</v>
      </c>
      <c r="AB3">
        <v>22</v>
      </c>
      <c r="AC3" t="s">
        <v>259</v>
      </c>
      <c r="AD3">
        <v>50</v>
      </c>
      <c r="AE3" t="s">
        <v>280</v>
      </c>
      <c r="AF3">
        <v>2</v>
      </c>
    </row>
    <row r="4" spans="14:32" x14ac:dyDescent="0.3">
      <c r="N4" t="s">
        <v>34</v>
      </c>
      <c r="O4">
        <v>2.0162275927662852</v>
      </c>
      <c r="W4" t="s">
        <v>197</v>
      </c>
      <c r="X4">
        <v>50</v>
      </c>
      <c r="Y4" t="s">
        <v>218</v>
      </c>
      <c r="Z4">
        <v>6</v>
      </c>
      <c r="AA4" t="s">
        <v>239</v>
      </c>
      <c r="AB4">
        <v>47</v>
      </c>
      <c r="AC4" t="s">
        <v>260</v>
      </c>
      <c r="AD4">
        <v>50</v>
      </c>
      <c r="AE4" t="s">
        <v>281</v>
      </c>
      <c r="AF4">
        <v>5</v>
      </c>
    </row>
    <row r="5" spans="14:32" x14ac:dyDescent="0.3">
      <c r="N5" t="s">
        <v>302</v>
      </c>
      <c r="O5">
        <v>4.2882185225307943</v>
      </c>
      <c r="W5" t="s">
        <v>198</v>
      </c>
      <c r="X5">
        <v>49</v>
      </c>
      <c r="Y5" t="s">
        <v>219</v>
      </c>
      <c r="Z5">
        <v>10</v>
      </c>
      <c r="AA5" t="s">
        <v>240</v>
      </c>
      <c r="AB5">
        <v>75</v>
      </c>
      <c r="AC5" t="s">
        <v>261</v>
      </c>
      <c r="AD5">
        <v>50</v>
      </c>
      <c r="AE5" t="s">
        <v>282</v>
      </c>
      <c r="AF5">
        <v>10</v>
      </c>
    </row>
    <row r="6" spans="14:32" x14ac:dyDescent="0.3">
      <c r="N6" t="s">
        <v>303</v>
      </c>
      <c r="O6">
        <v>7.748021223142743</v>
      </c>
      <c r="W6" t="s">
        <v>199</v>
      </c>
      <c r="X6">
        <v>50</v>
      </c>
      <c r="Y6" t="s">
        <v>220</v>
      </c>
      <c r="Z6">
        <v>12</v>
      </c>
      <c r="AA6" t="s">
        <v>241</v>
      </c>
      <c r="AB6">
        <v>94</v>
      </c>
      <c r="AC6" t="s">
        <v>262</v>
      </c>
      <c r="AD6">
        <v>50</v>
      </c>
      <c r="AE6" t="s">
        <v>283</v>
      </c>
      <c r="AF6">
        <v>18</v>
      </c>
    </row>
    <row r="7" spans="14:32" x14ac:dyDescent="0.3">
      <c r="N7" t="s">
        <v>304</v>
      </c>
      <c r="O7">
        <v>13.503470277220011</v>
      </c>
      <c r="W7" t="s">
        <v>200</v>
      </c>
      <c r="X7">
        <v>51</v>
      </c>
      <c r="Y7" t="s">
        <v>221</v>
      </c>
      <c r="Z7">
        <v>16</v>
      </c>
      <c r="AA7" t="s">
        <v>242</v>
      </c>
      <c r="AB7">
        <v>89</v>
      </c>
      <c r="AC7" t="s">
        <v>263</v>
      </c>
      <c r="AD7">
        <v>50</v>
      </c>
      <c r="AE7" t="s">
        <v>284</v>
      </c>
      <c r="AF7">
        <v>30</v>
      </c>
    </row>
    <row r="8" spans="14:32" x14ac:dyDescent="0.3">
      <c r="N8" t="s">
        <v>32</v>
      </c>
      <c r="O8">
        <v>13.499793843222873</v>
      </c>
      <c r="W8" t="s">
        <v>201</v>
      </c>
      <c r="X8">
        <v>49</v>
      </c>
      <c r="Y8" t="s">
        <v>222</v>
      </c>
      <c r="Z8">
        <v>23</v>
      </c>
      <c r="AA8" t="s">
        <v>243</v>
      </c>
      <c r="AB8">
        <v>84</v>
      </c>
      <c r="AC8" t="s">
        <v>264</v>
      </c>
      <c r="AD8">
        <v>50</v>
      </c>
      <c r="AE8" t="s">
        <v>285</v>
      </c>
      <c r="AF8">
        <v>48</v>
      </c>
    </row>
    <row r="9" spans="14:32" x14ac:dyDescent="0.3">
      <c r="N9" t="s">
        <v>305</v>
      </c>
      <c r="O9">
        <v>19.256314866051078</v>
      </c>
      <c r="W9" t="s">
        <v>202</v>
      </c>
      <c r="X9">
        <v>50</v>
      </c>
      <c r="Y9" t="s">
        <v>223</v>
      </c>
      <c r="Z9">
        <v>28</v>
      </c>
      <c r="AA9" t="s">
        <v>244</v>
      </c>
      <c r="AB9">
        <v>78</v>
      </c>
      <c r="AC9" t="s">
        <v>265</v>
      </c>
      <c r="AD9">
        <v>50</v>
      </c>
      <c r="AE9" t="s">
        <v>286</v>
      </c>
      <c r="AF9">
        <v>69</v>
      </c>
    </row>
    <row r="10" spans="14:32" x14ac:dyDescent="0.3">
      <c r="N10" t="s">
        <v>306</v>
      </c>
      <c r="O10">
        <v>22.705257471972704</v>
      </c>
      <c r="W10" t="s">
        <v>203</v>
      </c>
      <c r="X10">
        <v>51</v>
      </c>
      <c r="Y10" t="s">
        <v>224</v>
      </c>
      <c r="Z10">
        <v>35</v>
      </c>
      <c r="AA10" t="s">
        <v>245</v>
      </c>
      <c r="AB10">
        <v>72</v>
      </c>
      <c r="AC10" t="s">
        <v>266</v>
      </c>
      <c r="AD10">
        <v>50</v>
      </c>
      <c r="AE10" t="s">
        <v>287</v>
      </c>
      <c r="AF10">
        <v>90</v>
      </c>
    </row>
    <row r="11" spans="14:32" x14ac:dyDescent="0.3">
      <c r="N11" t="s">
        <v>35</v>
      </c>
      <c r="O11">
        <v>24.987760774135587</v>
      </c>
      <c r="W11" t="s">
        <v>204</v>
      </c>
      <c r="X11">
        <v>49</v>
      </c>
      <c r="Y11" t="s">
        <v>225</v>
      </c>
      <c r="Z11">
        <v>44</v>
      </c>
      <c r="AA11" t="s">
        <v>246</v>
      </c>
      <c r="AB11">
        <v>67</v>
      </c>
      <c r="AC11" t="s">
        <v>267</v>
      </c>
      <c r="AD11">
        <v>50</v>
      </c>
      <c r="AE11" t="s">
        <v>288</v>
      </c>
      <c r="AF11">
        <v>108</v>
      </c>
    </row>
    <row r="12" spans="14:32" x14ac:dyDescent="0.3">
      <c r="N12" t="s">
        <v>307</v>
      </c>
      <c r="O12">
        <v>44.085303884931847</v>
      </c>
      <c r="W12" t="s">
        <v>205</v>
      </c>
      <c r="X12">
        <v>50</v>
      </c>
      <c r="Y12" t="s">
        <v>226</v>
      </c>
      <c r="Z12">
        <v>53</v>
      </c>
      <c r="AA12" t="s">
        <v>247</v>
      </c>
      <c r="AB12">
        <v>62</v>
      </c>
      <c r="AC12" t="s">
        <v>268</v>
      </c>
      <c r="AD12">
        <v>50</v>
      </c>
      <c r="AE12" t="s">
        <v>289</v>
      </c>
      <c r="AF12">
        <v>117</v>
      </c>
    </row>
    <row r="13" spans="14:32" x14ac:dyDescent="0.3">
      <c r="N13" t="s">
        <v>308</v>
      </c>
      <c r="O13">
        <v>6.6396764894783731</v>
      </c>
      <c r="W13" t="s">
        <v>206</v>
      </c>
      <c r="X13">
        <v>50</v>
      </c>
      <c r="Y13" t="s">
        <v>227</v>
      </c>
      <c r="Z13">
        <v>62</v>
      </c>
      <c r="AA13" t="s">
        <v>248</v>
      </c>
      <c r="AB13">
        <v>56</v>
      </c>
      <c r="AC13" t="s">
        <v>269</v>
      </c>
      <c r="AD13">
        <v>50</v>
      </c>
      <c r="AE13" t="s">
        <v>290</v>
      </c>
      <c r="AF13">
        <v>119</v>
      </c>
    </row>
    <row r="14" spans="14:32" x14ac:dyDescent="0.3">
      <c r="W14" t="s">
        <v>207</v>
      </c>
      <c r="X14">
        <v>50</v>
      </c>
      <c r="Y14" t="s">
        <v>228</v>
      </c>
      <c r="Z14">
        <v>73</v>
      </c>
      <c r="AA14" t="s">
        <v>249</v>
      </c>
      <c r="AB14">
        <v>49</v>
      </c>
      <c r="AC14" t="s">
        <v>270</v>
      </c>
      <c r="AD14">
        <v>50</v>
      </c>
      <c r="AE14" t="s">
        <v>291</v>
      </c>
      <c r="AF14">
        <v>108</v>
      </c>
    </row>
    <row r="15" spans="14:32" x14ac:dyDescent="0.3">
      <c r="W15" t="s">
        <v>208</v>
      </c>
      <c r="X15">
        <v>50</v>
      </c>
      <c r="Y15" t="s">
        <v>229</v>
      </c>
      <c r="Z15">
        <v>82</v>
      </c>
      <c r="AA15" t="s">
        <v>250</v>
      </c>
      <c r="AB15">
        <v>45</v>
      </c>
      <c r="AC15" t="s">
        <v>271</v>
      </c>
      <c r="AD15">
        <v>50</v>
      </c>
      <c r="AE15" t="s">
        <v>292</v>
      </c>
      <c r="AF15">
        <v>90</v>
      </c>
    </row>
    <row r="16" spans="14:32" x14ac:dyDescent="0.3">
      <c r="W16" t="s">
        <v>209</v>
      </c>
      <c r="X16">
        <v>51</v>
      </c>
      <c r="Y16" t="s">
        <v>230</v>
      </c>
      <c r="Z16">
        <v>89</v>
      </c>
      <c r="AA16" t="s">
        <v>251</v>
      </c>
      <c r="AB16">
        <v>40</v>
      </c>
      <c r="AC16" t="s">
        <v>272</v>
      </c>
      <c r="AD16">
        <v>50</v>
      </c>
      <c r="AE16" t="s">
        <v>293</v>
      </c>
      <c r="AF16">
        <v>69</v>
      </c>
    </row>
    <row r="17" spans="14:32" x14ac:dyDescent="0.3">
      <c r="W17" t="s">
        <v>210</v>
      </c>
      <c r="X17">
        <v>49</v>
      </c>
      <c r="Y17" t="s">
        <v>231</v>
      </c>
      <c r="Z17">
        <v>97</v>
      </c>
      <c r="AA17" t="s">
        <v>252</v>
      </c>
      <c r="AB17">
        <v>34</v>
      </c>
      <c r="AC17" t="s">
        <v>273</v>
      </c>
      <c r="AD17">
        <v>50</v>
      </c>
      <c r="AE17" t="s">
        <v>294</v>
      </c>
      <c r="AF17">
        <v>48</v>
      </c>
    </row>
    <row r="18" spans="14:32" x14ac:dyDescent="0.3">
      <c r="W18" t="s">
        <v>211</v>
      </c>
      <c r="X18">
        <v>51</v>
      </c>
      <c r="Y18" t="s">
        <v>232</v>
      </c>
      <c r="Z18">
        <v>97</v>
      </c>
      <c r="AA18" t="s">
        <v>253</v>
      </c>
      <c r="AB18">
        <v>28</v>
      </c>
      <c r="AC18" t="s">
        <v>274</v>
      </c>
      <c r="AD18">
        <v>50</v>
      </c>
      <c r="AE18" t="s">
        <v>295</v>
      </c>
      <c r="AF18">
        <v>32</v>
      </c>
    </row>
    <row r="19" spans="14:32" x14ac:dyDescent="0.3">
      <c r="W19" t="s">
        <v>212</v>
      </c>
      <c r="X19">
        <v>49</v>
      </c>
      <c r="Y19" t="s">
        <v>233</v>
      </c>
      <c r="Z19">
        <v>95</v>
      </c>
      <c r="AA19" t="s">
        <v>254</v>
      </c>
      <c r="AB19">
        <v>22</v>
      </c>
      <c r="AC19" t="s">
        <v>275</v>
      </c>
      <c r="AD19">
        <v>50</v>
      </c>
      <c r="AE19" t="s">
        <v>296</v>
      </c>
      <c r="AF19">
        <v>18</v>
      </c>
    </row>
    <row r="20" spans="14:32" x14ac:dyDescent="0.3">
      <c r="N20" s="136" t="s">
        <v>309</v>
      </c>
      <c r="O20" s="136"/>
      <c r="W20" t="s">
        <v>213</v>
      </c>
      <c r="X20">
        <v>51</v>
      </c>
      <c r="Y20" t="s">
        <v>234</v>
      </c>
      <c r="Z20">
        <v>84</v>
      </c>
      <c r="AA20" t="s">
        <v>255</v>
      </c>
      <c r="AB20">
        <v>18</v>
      </c>
      <c r="AC20" t="s">
        <v>276</v>
      </c>
      <c r="AD20">
        <v>50</v>
      </c>
      <c r="AE20" t="s">
        <v>297</v>
      </c>
      <c r="AF20">
        <v>10</v>
      </c>
    </row>
    <row r="21" spans="14:32" x14ac:dyDescent="0.3">
      <c r="N21" t="s">
        <v>34</v>
      </c>
      <c r="O21">
        <v>3.102101248880508</v>
      </c>
      <c r="W21" t="s">
        <v>214</v>
      </c>
      <c r="X21">
        <v>49</v>
      </c>
      <c r="Y21" t="s">
        <v>235</v>
      </c>
      <c r="Z21">
        <v>61</v>
      </c>
      <c r="AA21" t="s">
        <v>256</v>
      </c>
      <c r="AB21">
        <v>11</v>
      </c>
      <c r="AC21" t="s">
        <v>277</v>
      </c>
      <c r="AD21">
        <v>50</v>
      </c>
      <c r="AE21" t="s">
        <v>298</v>
      </c>
      <c r="AF21">
        <v>5</v>
      </c>
    </row>
    <row r="22" spans="14:32" x14ac:dyDescent="0.3">
      <c r="N22" t="s">
        <v>302</v>
      </c>
      <c r="O22">
        <v>6.548785841879865</v>
      </c>
      <c r="W22" t="s">
        <v>215</v>
      </c>
      <c r="X22">
        <v>50</v>
      </c>
      <c r="Y22" t="s">
        <v>236</v>
      </c>
      <c r="Z22">
        <v>22</v>
      </c>
      <c r="AA22" t="s">
        <v>257</v>
      </c>
      <c r="AB22">
        <v>6</v>
      </c>
      <c r="AC22" t="s">
        <v>278</v>
      </c>
      <c r="AD22">
        <v>50</v>
      </c>
      <c r="AE22" t="s">
        <v>299</v>
      </c>
      <c r="AF22">
        <v>2</v>
      </c>
    </row>
    <row r="23" spans="14:32" x14ac:dyDescent="0.3">
      <c r="N23" t="s">
        <v>303</v>
      </c>
      <c r="O23">
        <v>7.7081753804824835</v>
      </c>
      <c r="W23">
        <f>SUM($W$3:$W$22)</f>
        <v>0</v>
      </c>
      <c r="X23">
        <f>SUM($X$3:$X$22)</f>
        <v>1000</v>
      </c>
      <c r="Y23">
        <f>SUM($Y$3:$Y$22)</f>
        <v>0</v>
      </c>
      <c r="Z23">
        <f>SUM($Z$3:$Z$22)</f>
        <v>993</v>
      </c>
      <c r="AA23">
        <f>SUM($AA$3:$AA$22)</f>
        <v>0</v>
      </c>
      <c r="AB23">
        <f>SUM($AB$3:$AB$22)</f>
        <v>999</v>
      </c>
      <c r="AC23">
        <f>SUM($AC$3:$AC$22)</f>
        <v>0</v>
      </c>
      <c r="AD23">
        <f>SUM($AD$3:$AD$22)</f>
        <v>1000</v>
      </c>
      <c r="AE23">
        <f>SUM($AE$3:$AE$22)</f>
        <v>0</v>
      </c>
      <c r="AF23">
        <f>SUM($AF$3:$AF$22)</f>
        <v>998</v>
      </c>
    </row>
    <row r="24" spans="14:32" x14ac:dyDescent="0.3">
      <c r="N24" t="s">
        <v>304</v>
      </c>
      <c r="O24">
        <v>8.8354900518006083</v>
      </c>
    </row>
    <row r="25" spans="14:32" x14ac:dyDescent="0.3">
      <c r="N25" t="s">
        <v>32</v>
      </c>
      <c r="O25">
        <v>8.5951469470144293</v>
      </c>
      <c r="W25" s="136" t="s">
        <v>300</v>
      </c>
      <c r="X25" s="136"/>
      <c r="Y25" s="136"/>
      <c r="Z25" s="136"/>
      <c r="AA25" s="136"/>
      <c r="AB25" s="136"/>
      <c r="AC25" s="136"/>
      <c r="AD25" s="136"/>
      <c r="AE25" s="136"/>
      <c r="AF25" s="136"/>
    </row>
    <row r="26" spans="14:32" x14ac:dyDescent="0.3">
      <c r="N26" t="s">
        <v>305</v>
      </c>
      <c r="O26">
        <v>9.7196893217149309</v>
      </c>
      <c r="W26" s="136" t="s">
        <v>195</v>
      </c>
      <c r="X26" s="136"/>
      <c r="Y26" s="136" t="s">
        <v>216</v>
      </c>
      <c r="Z26" s="136"/>
      <c r="AA26" s="136" t="s">
        <v>237</v>
      </c>
      <c r="AB26" s="136"/>
      <c r="AC26" s="136" t="s">
        <v>258</v>
      </c>
      <c r="AD26" s="136"/>
      <c r="AE26" s="136" t="s">
        <v>279</v>
      </c>
      <c r="AF26" s="136"/>
    </row>
    <row r="27" spans="14:32" x14ac:dyDescent="0.3">
      <c r="N27" t="s">
        <v>306</v>
      </c>
      <c r="O27">
        <v>10.28761761296715</v>
      </c>
      <c r="W27">
        <v>2.0162275927662852</v>
      </c>
      <c r="X27">
        <v>9.99000999000999E-4</v>
      </c>
      <c r="Y27">
        <v>3.102101248880508</v>
      </c>
      <c r="Z27">
        <v>9.99000999000999E-4</v>
      </c>
      <c r="AA27">
        <v>2.0684585157551796</v>
      </c>
      <c r="AB27">
        <v>9.99000999000999E-4</v>
      </c>
      <c r="AC27">
        <v>2.0065243440270426</v>
      </c>
      <c r="AD27">
        <v>9.99000999000999E-4</v>
      </c>
      <c r="AE27">
        <v>-3.6281595759465706</v>
      </c>
      <c r="AF27">
        <v>9.99000999000999E-4</v>
      </c>
    </row>
    <row r="28" spans="14:32" x14ac:dyDescent="0.3">
      <c r="N28" t="s">
        <v>35</v>
      </c>
      <c r="O28">
        <v>10.967721009819366</v>
      </c>
      <c r="W28">
        <v>2.2233078716993333</v>
      </c>
      <c r="X28">
        <v>9.99000999000999E-3</v>
      </c>
      <c r="Y28">
        <v>4.4383430522913363</v>
      </c>
      <c r="Z28">
        <v>9.99000999000999E-3</v>
      </c>
      <c r="AA28">
        <v>2.2426810093399054</v>
      </c>
      <c r="AB28">
        <v>9.99000999000999E-3</v>
      </c>
      <c r="AC28">
        <v>2.1031690138578414</v>
      </c>
      <c r="AD28">
        <v>9.99000999000999E-3</v>
      </c>
      <c r="AE28">
        <v>-1.0203380386410998E-3</v>
      </c>
      <c r="AF28">
        <v>9.99000999000999E-3</v>
      </c>
    </row>
    <row r="29" spans="14:32" x14ac:dyDescent="0.3">
      <c r="N29" t="s">
        <v>307</v>
      </c>
      <c r="O29">
        <v>2.1073467382054361</v>
      </c>
      <c r="W29">
        <v>2.4453724296092987</v>
      </c>
      <c r="X29">
        <v>1.998001998001998E-2</v>
      </c>
      <c r="Y29">
        <v>5.0008659609197146</v>
      </c>
      <c r="Z29">
        <v>1.998001998001998E-2</v>
      </c>
      <c r="AA29">
        <v>2.3462840247392918</v>
      </c>
      <c r="AB29">
        <v>1.998001998001998E-2</v>
      </c>
      <c r="AC29">
        <v>2.2188633081912994</v>
      </c>
      <c r="AD29">
        <v>1.998001998001998E-2</v>
      </c>
      <c r="AE29">
        <v>0.78270058789067409</v>
      </c>
      <c r="AF29">
        <v>1.998001998001998E-2</v>
      </c>
    </row>
    <row r="30" spans="14:32" x14ac:dyDescent="0.3">
      <c r="N30" t="s">
        <v>308</v>
      </c>
      <c r="O30">
        <v>1.4516703269700859</v>
      </c>
      <c r="W30">
        <v>2.6734248672723773</v>
      </c>
      <c r="X30">
        <v>2.9970029970029972E-2</v>
      </c>
      <c r="Y30">
        <v>5.3582324491894457</v>
      </c>
      <c r="Z30">
        <v>2.9970029970029972E-2</v>
      </c>
      <c r="AA30">
        <v>2.4228518176353337</v>
      </c>
      <c r="AB30">
        <v>2.9970029970029972E-2</v>
      </c>
      <c r="AC30">
        <v>2.3230157619714737</v>
      </c>
      <c r="AD30">
        <v>2.9970029970029972E-2</v>
      </c>
      <c r="AE30">
        <v>1.340995203320972</v>
      </c>
      <c r="AF30">
        <v>2.9970029970029972E-2</v>
      </c>
    </row>
    <row r="31" spans="14:32" x14ac:dyDescent="0.3">
      <c r="W31">
        <v>2.9092790808677673</v>
      </c>
      <c r="X31">
        <v>3.996003996003996E-2</v>
      </c>
      <c r="Y31">
        <v>5.62643675990887</v>
      </c>
      <c r="Z31">
        <v>3.996003996003996E-2</v>
      </c>
      <c r="AA31">
        <v>2.4876004834420717</v>
      </c>
      <c r="AB31">
        <v>3.996003996003996E-2</v>
      </c>
      <c r="AC31">
        <v>2.4343984317779541</v>
      </c>
      <c r="AD31">
        <v>3.996003996003996E-2</v>
      </c>
      <c r="AE31">
        <v>1.7313240402135675</v>
      </c>
      <c r="AF31">
        <v>3.996003996003996E-2</v>
      </c>
    </row>
    <row r="32" spans="14:32" x14ac:dyDescent="0.3">
      <c r="W32">
        <v>3.1280499309301373</v>
      </c>
      <c r="X32">
        <v>4.9950049950049952E-2</v>
      </c>
      <c r="Y32">
        <v>5.8339142324014421</v>
      </c>
      <c r="Z32">
        <v>4.9950049950049952E-2</v>
      </c>
      <c r="AA32">
        <v>2.5444411081933067</v>
      </c>
      <c r="AB32">
        <v>4.9950049950049952E-2</v>
      </c>
      <c r="AC32">
        <v>2.5488521608114243</v>
      </c>
      <c r="AD32">
        <v>4.9950049950049952E-2</v>
      </c>
      <c r="AE32">
        <v>2.0525904238309778</v>
      </c>
      <c r="AF32">
        <v>4.9950049950049952E-2</v>
      </c>
    </row>
    <row r="33" spans="14:32" x14ac:dyDescent="0.3">
      <c r="W33">
        <v>3.3718715040683747</v>
      </c>
      <c r="X33">
        <v>5.9940059940059943E-2</v>
      </c>
      <c r="Y33">
        <v>5.9999375081128958</v>
      </c>
      <c r="Z33">
        <v>5.9940059940059943E-2</v>
      </c>
      <c r="AA33">
        <v>2.5987834076132543</v>
      </c>
      <c r="AB33">
        <v>5.9940059940059943E-2</v>
      </c>
      <c r="AC33">
        <v>2.6598739812374115</v>
      </c>
      <c r="AD33">
        <v>5.9940059940059943E-2</v>
      </c>
      <c r="AE33">
        <v>2.3149062820342587</v>
      </c>
      <c r="AF33">
        <v>5.9940059940059943E-2</v>
      </c>
    </row>
    <row r="34" spans="14:32" x14ac:dyDescent="0.3">
      <c r="W34">
        <v>3.5975333434343337</v>
      </c>
      <c r="X34">
        <v>6.9930069930069935E-2</v>
      </c>
      <c r="Y34">
        <v>6.1668406061231789</v>
      </c>
      <c r="Z34">
        <v>6.9930069930069935E-2</v>
      </c>
      <c r="AA34">
        <v>2.6464701964330413</v>
      </c>
      <c r="AB34">
        <v>6.9930069930069935E-2</v>
      </c>
      <c r="AC34">
        <v>2.7591381102800367</v>
      </c>
      <c r="AD34">
        <v>6.9930069930069935E-2</v>
      </c>
      <c r="AE34">
        <v>2.560867995494438</v>
      </c>
      <c r="AF34">
        <v>6.9930069930069935E-2</v>
      </c>
    </row>
    <row r="35" spans="14:32" x14ac:dyDescent="0.3">
      <c r="W35">
        <v>3.8192533979415892</v>
      </c>
      <c r="X35">
        <v>7.992007992007992E-2</v>
      </c>
      <c r="Y35">
        <v>6.3115222398339741</v>
      </c>
      <c r="Z35">
        <v>7.992007992007992E-2</v>
      </c>
      <c r="AA35">
        <v>2.689078518428289</v>
      </c>
      <c r="AB35">
        <v>7.992007992007992E-2</v>
      </c>
      <c r="AC35">
        <v>2.8777942900657654</v>
      </c>
      <c r="AD35">
        <v>7.992007992007992E-2</v>
      </c>
      <c r="AE35">
        <v>2.773632351586631</v>
      </c>
      <c r="AF35">
        <v>7.992007992007992E-2</v>
      </c>
    </row>
    <row r="36" spans="14:32" x14ac:dyDescent="0.3">
      <c r="W36">
        <v>4.0585564402341845</v>
      </c>
      <c r="X36">
        <v>8.9910089910089905E-2</v>
      </c>
      <c r="Y36">
        <v>6.4298859842264644</v>
      </c>
      <c r="Z36">
        <v>8.9910089910089905E-2</v>
      </c>
      <c r="AA36">
        <v>2.7345818545614566</v>
      </c>
      <c r="AB36">
        <v>8.9910089910089905E-2</v>
      </c>
      <c r="AC36">
        <v>2.9791372212171554</v>
      </c>
      <c r="AD36">
        <v>8.9910089910089905E-2</v>
      </c>
      <c r="AE36">
        <v>2.9665549647772842</v>
      </c>
      <c r="AF36">
        <v>8.9910089910089905E-2</v>
      </c>
    </row>
    <row r="37" spans="14:32" x14ac:dyDescent="0.3">
      <c r="N37" s="136" t="s">
        <v>310</v>
      </c>
      <c r="O37" s="136"/>
      <c r="W37">
        <v>4.28597670340538</v>
      </c>
      <c r="X37">
        <v>9.9900099900099903E-2</v>
      </c>
      <c r="Y37">
        <v>6.5479149160082937</v>
      </c>
      <c r="Z37">
        <v>9.9900099900099903E-2</v>
      </c>
      <c r="AA37">
        <v>2.7743935528765626</v>
      </c>
      <c r="AB37">
        <v>9.9900099900099903E-2</v>
      </c>
      <c r="AC37">
        <v>3.0989908401966098</v>
      </c>
      <c r="AD37">
        <v>9.9900099900099903E-2</v>
      </c>
      <c r="AE37">
        <v>3.1456892557244682</v>
      </c>
      <c r="AF37">
        <v>9.9900099900099903E-2</v>
      </c>
    </row>
    <row r="38" spans="14:32" x14ac:dyDescent="0.3">
      <c r="N38" t="s">
        <v>34</v>
      </c>
      <c r="O38">
        <v>2.0684585157551796</v>
      </c>
      <c r="W38">
        <v>4.5220534864664081</v>
      </c>
      <c r="X38">
        <v>0.10989010989010989</v>
      </c>
      <c r="Y38">
        <v>6.6617318477940461</v>
      </c>
      <c r="Z38">
        <v>0.10989010989010989</v>
      </c>
      <c r="AA38">
        <v>2.812139817585166</v>
      </c>
      <c r="AB38">
        <v>0.10989010989010989</v>
      </c>
      <c r="AC38">
        <v>3.2089011904001237</v>
      </c>
      <c r="AD38">
        <v>0.10989010989010989</v>
      </c>
      <c r="AE38">
        <v>3.3118266422019493</v>
      </c>
      <c r="AF38">
        <v>0.10989010989010989</v>
      </c>
    </row>
    <row r="39" spans="14:32" x14ac:dyDescent="0.3">
      <c r="N39" t="s">
        <v>302</v>
      </c>
      <c r="O39">
        <v>2.7746958139425595</v>
      </c>
      <c r="W39">
        <v>4.7418384785652163</v>
      </c>
      <c r="X39">
        <v>0.11988011988011989</v>
      </c>
      <c r="Y39">
        <v>6.7609788066417265</v>
      </c>
      <c r="Z39">
        <v>0.11988011988011989</v>
      </c>
      <c r="AA39">
        <v>2.8480334539067473</v>
      </c>
      <c r="AB39">
        <v>0.11988011988011989</v>
      </c>
      <c r="AC39">
        <v>3.3139816370010378</v>
      </c>
      <c r="AD39">
        <v>0.11988011988011989</v>
      </c>
      <c r="AE39">
        <v>3.4608369037083495</v>
      </c>
      <c r="AF39">
        <v>0.11988011988011989</v>
      </c>
    </row>
    <row r="40" spans="14:32" x14ac:dyDescent="0.3">
      <c r="N40" t="s">
        <v>303</v>
      </c>
      <c r="O40">
        <v>3.2566303716683818</v>
      </c>
      <c r="W40">
        <v>4.9688835519552228</v>
      </c>
      <c r="X40">
        <v>0.12987012987012986</v>
      </c>
      <c r="Y40">
        <v>6.8510694018014489</v>
      </c>
      <c r="Z40">
        <v>0.12987012987012986</v>
      </c>
      <c r="AA40">
        <v>2.8825697496585265</v>
      </c>
      <c r="AB40">
        <v>0.12987012987012986</v>
      </c>
      <c r="AC40">
        <v>3.4200041755437853</v>
      </c>
      <c r="AD40">
        <v>0.12987012987012986</v>
      </c>
      <c r="AE40">
        <v>3.6084724930894572</v>
      </c>
      <c r="AF40">
        <v>0.12987012987012986</v>
      </c>
    </row>
    <row r="41" spans="14:32" x14ac:dyDescent="0.3">
      <c r="N41" t="s">
        <v>304</v>
      </c>
      <c r="O41">
        <v>4.1264676248838281</v>
      </c>
      <c r="W41">
        <v>5.2144277737140659</v>
      </c>
      <c r="X41">
        <v>0.13986013986013987</v>
      </c>
      <c r="Y41">
        <v>6.9411352881209281</v>
      </c>
      <c r="Z41">
        <v>0.13986013986013987</v>
      </c>
      <c r="AA41">
        <v>2.9144709553827708</v>
      </c>
      <c r="AB41">
        <v>0.13986013986013987</v>
      </c>
      <c r="AC41">
        <v>3.5350805842876438</v>
      </c>
      <c r="AD41">
        <v>0.13986013986013987</v>
      </c>
      <c r="AE41">
        <v>3.7503718102724104</v>
      </c>
      <c r="AF41">
        <v>0.13986013986013987</v>
      </c>
    </row>
    <row r="42" spans="14:32" x14ac:dyDescent="0.3">
      <c r="N42" t="s">
        <v>32</v>
      </c>
      <c r="O42">
        <v>4.3333604587439325</v>
      </c>
      <c r="W42">
        <v>5.4292523862123492</v>
      </c>
      <c r="X42">
        <v>0.14985014985014986</v>
      </c>
      <c r="Y42">
        <v>7.0290803269015569</v>
      </c>
      <c r="Z42">
        <v>0.14985014985014986</v>
      </c>
      <c r="AA42">
        <v>2.9479226173102315</v>
      </c>
      <c r="AB42">
        <v>0.14985014985014986</v>
      </c>
      <c r="AC42">
        <v>3.643027170300484</v>
      </c>
      <c r="AD42">
        <v>0.14985014985014986</v>
      </c>
      <c r="AE42">
        <v>3.8859159089430886</v>
      </c>
      <c r="AF42">
        <v>0.14985014985014986</v>
      </c>
    </row>
    <row r="43" spans="14:32" x14ac:dyDescent="0.3">
      <c r="N43" t="s">
        <v>305</v>
      </c>
      <c r="O43">
        <v>5.2606007544739306</v>
      </c>
      <c r="W43">
        <v>5.6644225063323974</v>
      </c>
      <c r="X43">
        <v>0.15984015984015984</v>
      </c>
      <c r="Y43">
        <v>7.1122157549813458</v>
      </c>
      <c r="Z43">
        <v>0.15984015984015984</v>
      </c>
      <c r="AA43">
        <v>2.9779551602949317</v>
      </c>
      <c r="AB43">
        <v>0.15984015984015984</v>
      </c>
      <c r="AC43">
        <v>3.7532568593025211</v>
      </c>
      <c r="AD43">
        <v>0.15984015984015984</v>
      </c>
      <c r="AE43">
        <v>4.0056284537844364</v>
      </c>
      <c r="AF43">
        <v>0.15984015984015984</v>
      </c>
    </row>
    <row r="44" spans="14:32" x14ac:dyDescent="0.3">
      <c r="N44" t="s">
        <v>306</v>
      </c>
      <c r="O44">
        <v>6.2721741968037357</v>
      </c>
      <c r="W44">
        <v>5.9068842934370043</v>
      </c>
      <c r="X44">
        <v>0.16983016983016982</v>
      </c>
      <c r="Y44">
        <v>7.1835600628807414</v>
      </c>
      <c r="Z44">
        <v>0.16983016983016982</v>
      </c>
      <c r="AA44">
        <v>3.0086542919831478</v>
      </c>
      <c r="AB44">
        <v>0.16983016983016982</v>
      </c>
      <c r="AC44">
        <v>3.859792379260063</v>
      </c>
      <c r="AD44">
        <v>0.16983016983016982</v>
      </c>
      <c r="AE44">
        <v>4.1334292256230265</v>
      </c>
      <c r="AF44">
        <v>0.16983016983016982</v>
      </c>
    </row>
    <row r="45" spans="14:32" x14ac:dyDescent="0.3">
      <c r="N45" t="s">
        <v>35</v>
      </c>
      <c r="O45">
        <v>7.8306325974707924</v>
      </c>
      <c r="W45">
        <v>6.1196363360881803</v>
      </c>
      <c r="X45">
        <v>0.17982017982017981</v>
      </c>
      <c r="Y45">
        <v>7.2616009452950241</v>
      </c>
      <c r="Z45">
        <v>0.17982017982017981</v>
      </c>
      <c r="AA45">
        <v>3.0373337134540854</v>
      </c>
      <c r="AB45">
        <v>0.17982017982017981</v>
      </c>
      <c r="AC45">
        <v>3.9747442877292629</v>
      </c>
      <c r="AD45">
        <v>0.17982017982017981</v>
      </c>
      <c r="AE45">
        <v>4.2495821911179252</v>
      </c>
      <c r="AF45">
        <v>0.17982017982017981</v>
      </c>
    </row>
    <row r="46" spans="14:32" x14ac:dyDescent="0.3">
      <c r="N46" t="s">
        <v>307</v>
      </c>
      <c r="O46">
        <v>1.721999741552402</v>
      </c>
      <c r="W46">
        <v>6.3549440075159076</v>
      </c>
      <c r="X46">
        <v>0.18981018981018982</v>
      </c>
      <c r="Y46">
        <v>7.3285671551224354</v>
      </c>
      <c r="Z46">
        <v>0.18981018981018982</v>
      </c>
      <c r="AA46">
        <v>3.0693117131665657</v>
      </c>
      <c r="AB46">
        <v>0.18981018981018982</v>
      </c>
      <c r="AC46">
        <v>4.0853475929498675</v>
      </c>
      <c r="AD46">
        <v>0.18981018981018982</v>
      </c>
      <c r="AE46">
        <v>4.3590354331177821</v>
      </c>
      <c r="AF46">
        <v>0.18981018981018982</v>
      </c>
    </row>
    <row r="47" spans="14:32" x14ac:dyDescent="0.3">
      <c r="N47" t="s">
        <v>308</v>
      </c>
      <c r="O47">
        <v>1.3122498777109495</v>
      </c>
      <c r="W47">
        <v>6.5848155398368835</v>
      </c>
      <c r="X47">
        <v>0.19980019980019981</v>
      </c>
      <c r="Y47">
        <v>7.398275179949672</v>
      </c>
      <c r="Z47">
        <v>0.19980019980019981</v>
      </c>
      <c r="AA47">
        <v>3.1004602692213323</v>
      </c>
      <c r="AB47">
        <v>0.19980019980019981</v>
      </c>
      <c r="AC47">
        <v>4.1944007186889642</v>
      </c>
      <c r="AD47">
        <v>0.19980019980019981</v>
      </c>
      <c r="AE47">
        <v>4.4732950619788099</v>
      </c>
      <c r="AF47">
        <v>0.19980019980019981</v>
      </c>
    </row>
    <row r="48" spans="14:32" x14ac:dyDescent="0.3">
      <c r="W48">
        <v>6.8187085670232772</v>
      </c>
      <c r="X48">
        <v>0.20979020979020979</v>
      </c>
      <c r="Y48">
        <v>7.4606011424079881</v>
      </c>
      <c r="Z48">
        <v>0.20979020979020979</v>
      </c>
      <c r="AA48">
        <v>3.1292161176503424</v>
      </c>
      <c r="AB48">
        <v>0.20979020979020979</v>
      </c>
      <c r="AC48">
        <v>4.30970056283474</v>
      </c>
      <c r="AD48">
        <v>0.20979020979020979</v>
      </c>
      <c r="AE48">
        <v>4.5749482519090456</v>
      </c>
      <c r="AF48">
        <v>0.20979020979020979</v>
      </c>
    </row>
    <row r="49" spans="14:32" x14ac:dyDescent="0.3">
      <c r="W49">
        <v>7.0491858866214754</v>
      </c>
      <c r="X49">
        <v>0.21978021978021978</v>
      </c>
      <c r="Y49">
        <v>7.5254692883111272</v>
      </c>
      <c r="Z49">
        <v>0.21978021978021978</v>
      </c>
      <c r="AA49">
        <v>3.1618343212466371</v>
      </c>
      <c r="AB49">
        <v>0.21978021978021978</v>
      </c>
      <c r="AC49">
        <v>4.4158173997402184</v>
      </c>
      <c r="AD49">
        <v>0.21978021978021978</v>
      </c>
      <c r="AE49">
        <v>4.6794761812920473</v>
      </c>
      <c r="AF49">
        <v>0.21978021978021978</v>
      </c>
    </row>
    <row r="50" spans="14:32" x14ac:dyDescent="0.3">
      <c r="W50">
        <v>7.2849891902208332</v>
      </c>
      <c r="X50">
        <v>0.22977022977022976</v>
      </c>
      <c r="Y50">
        <v>7.5883670942852461</v>
      </c>
      <c r="Z50">
        <v>0.22977022977022976</v>
      </c>
      <c r="AA50">
        <v>3.1930446498693534</v>
      </c>
      <c r="AB50">
        <v>0.22977022977022976</v>
      </c>
      <c r="AC50">
        <v>4.5193033763170245</v>
      </c>
      <c r="AD50">
        <v>0.22977022977022976</v>
      </c>
      <c r="AE50">
        <v>4.7815084997168942</v>
      </c>
      <c r="AF50">
        <v>0.22977022977022976</v>
      </c>
    </row>
    <row r="51" spans="14:32" x14ac:dyDescent="0.3">
      <c r="W51">
        <v>7.499749512672425</v>
      </c>
      <c r="X51">
        <v>0.23976023976023977</v>
      </c>
      <c r="Y51">
        <v>7.6489070270359472</v>
      </c>
      <c r="Z51">
        <v>0.23976023976023977</v>
      </c>
      <c r="AA51">
        <v>3.2223243460615878</v>
      </c>
      <c r="AB51">
        <v>0.23976023976023977</v>
      </c>
      <c r="AC51">
        <v>4.6301783518791204</v>
      </c>
      <c r="AD51">
        <v>0.23976023976023977</v>
      </c>
      <c r="AE51">
        <v>4.8751213668592861</v>
      </c>
      <c r="AF51">
        <v>0.23976023976023977</v>
      </c>
    </row>
    <row r="52" spans="14:32" x14ac:dyDescent="0.3">
      <c r="W52">
        <v>7.7443031500577924</v>
      </c>
      <c r="X52">
        <v>0.24975024975024976</v>
      </c>
      <c r="Y52">
        <v>7.7074995726109057</v>
      </c>
      <c r="Z52">
        <v>0.24975024975024976</v>
      </c>
      <c r="AA52">
        <v>3.2561542871202267</v>
      </c>
      <c r="AB52">
        <v>0.24975024975024976</v>
      </c>
      <c r="AC52">
        <v>4.7432868317365653</v>
      </c>
      <c r="AD52">
        <v>0.24975024975024976</v>
      </c>
      <c r="AE52">
        <v>4.9674954173777088</v>
      </c>
      <c r="AF52">
        <v>0.24975024975024976</v>
      </c>
    </row>
    <row r="53" spans="14:32" x14ac:dyDescent="0.3">
      <c r="W53">
        <v>7.9633317964076991</v>
      </c>
      <c r="X53">
        <v>0.25974025974025972</v>
      </c>
      <c r="Y53">
        <v>7.7613138252832377</v>
      </c>
      <c r="Z53">
        <v>0.25974025974025972</v>
      </c>
      <c r="AA53">
        <v>3.2861651418975422</v>
      </c>
      <c r="AB53">
        <v>0.25974025974025972</v>
      </c>
      <c r="AC53">
        <v>4.8528697445392606</v>
      </c>
      <c r="AD53">
        <v>0.25974025974025972</v>
      </c>
      <c r="AE53">
        <v>5.0691170060266924</v>
      </c>
      <c r="AF53">
        <v>0.25974025974025972</v>
      </c>
    </row>
    <row r="54" spans="14:32" x14ac:dyDescent="0.3">
      <c r="N54" s="136" t="s">
        <v>311</v>
      </c>
      <c r="O54" s="136"/>
      <c r="W54">
        <v>8.1897956491708754</v>
      </c>
      <c r="X54">
        <v>0.26973026973026976</v>
      </c>
      <c r="Y54">
        <v>7.8174001871206436</v>
      </c>
      <c r="Z54">
        <v>0.26973026973026976</v>
      </c>
      <c r="AA54">
        <v>3.319826610106122</v>
      </c>
      <c r="AB54">
        <v>0.26973026973026976</v>
      </c>
      <c r="AC54">
        <v>4.9594448133707045</v>
      </c>
      <c r="AD54">
        <v>0.26973026973026976</v>
      </c>
      <c r="AE54">
        <v>5.1573346112906897</v>
      </c>
      <c r="AF54">
        <v>0.26973026973026976</v>
      </c>
    </row>
    <row r="55" spans="14:32" x14ac:dyDescent="0.3">
      <c r="N55" t="s">
        <v>34</v>
      </c>
      <c r="O55">
        <v>2.0065243440270426</v>
      </c>
      <c r="W55">
        <v>8.4393782334327696</v>
      </c>
      <c r="X55">
        <v>0.27972027972027974</v>
      </c>
      <c r="Y55">
        <v>7.869925127248286</v>
      </c>
      <c r="Z55">
        <v>0.27972027972027974</v>
      </c>
      <c r="AA55">
        <v>3.3517653663087854</v>
      </c>
      <c r="AB55">
        <v>0.27972027972027974</v>
      </c>
      <c r="AC55">
        <v>5.0748392705917356</v>
      </c>
      <c r="AD55">
        <v>0.27972027972027974</v>
      </c>
      <c r="AE55">
        <v>5.2460686485665864</v>
      </c>
      <c r="AF55">
        <v>0.27972027972027974</v>
      </c>
    </row>
    <row r="56" spans="14:32" x14ac:dyDescent="0.3">
      <c r="N56" t="s">
        <v>302</v>
      </c>
      <c r="O56">
        <v>3.0992787362635137</v>
      </c>
      <c r="W56">
        <v>8.6679116948842996</v>
      </c>
      <c r="X56">
        <v>0.28971028971028973</v>
      </c>
      <c r="Y56">
        <v>7.9238718169833744</v>
      </c>
      <c r="Z56">
        <v>0.28971028971028973</v>
      </c>
      <c r="AA56">
        <v>3.3825866773806634</v>
      </c>
      <c r="AB56">
        <v>0.28971028971028973</v>
      </c>
      <c r="AC56">
        <v>5.1899686664342877</v>
      </c>
      <c r="AD56">
        <v>0.28971028971028973</v>
      </c>
      <c r="AE56">
        <v>5.3361851100104571</v>
      </c>
      <c r="AF56">
        <v>0.28971028971028973</v>
      </c>
    </row>
    <row r="57" spans="14:32" x14ac:dyDescent="0.3">
      <c r="N57" t="s">
        <v>303</v>
      </c>
      <c r="O57">
        <v>4.7455395903736353</v>
      </c>
      <c r="W57">
        <v>8.8845013115406033</v>
      </c>
      <c r="X57">
        <v>0.29970029970029971</v>
      </c>
      <c r="Y57">
        <v>7.9770478822321884</v>
      </c>
      <c r="Z57">
        <v>0.29970029970029971</v>
      </c>
      <c r="AA57">
        <v>3.4156470418262481</v>
      </c>
      <c r="AB57">
        <v>0.29970029970029971</v>
      </c>
      <c r="AC57">
        <v>5.2937055213451387</v>
      </c>
      <c r="AD57">
        <v>0.29970029970029971</v>
      </c>
      <c r="AE57">
        <v>5.4250930835973712</v>
      </c>
      <c r="AF57">
        <v>0.29970029970029971</v>
      </c>
    </row>
    <row r="58" spans="14:32" x14ac:dyDescent="0.3">
      <c r="N58" t="s">
        <v>304</v>
      </c>
      <c r="O58">
        <v>7.4999249236881731</v>
      </c>
      <c r="W58">
        <v>9.1278179742097851</v>
      </c>
      <c r="X58">
        <v>0.3096903096903097</v>
      </c>
      <c r="Y58">
        <v>8.0226555023913626</v>
      </c>
      <c r="Z58">
        <v>0.3096903096903097</v>
      </c>
      <c r="AA58">
        <v>3.4480922649187802</v>
      </c>
      <c r="AB58">
        <v>0.3096903096903097</v>
      </c>
      <c r="AC58">
        <v>5.4019315720796586</v>
      </c>
      <c r="AD58">
        <v>0.3096903096903097</v>
      </c>
      <c r="AE58">
        <v>5.5115305128078154</v>
      </c>
      <c r="AF58">
        <v>0.3096903096903097</v>
      </c>
    </row>
    <row r="59" spans="14:32" x14ac:dyDescent="0.3">
      <c r="N59" t="s">
        <v>32</v>
      </c>
      <c r="O59">
        <v>7.5001368124868888</v>
      </c>
      <c r="W59">
        <v>9.3407773857116698</v>
      </c>
      <c r="X59">
        <v>0.31968031968031968</v>
      </c>
      <c r="Y59">
        <v>8.0718825767176661</v>
      </c>
      <c r="Z59">
        <v>0.31968031968031968</v>
      </c>
      <c r="AA59">
        <v>3.4808652448036952</v>
      </c>
      <c r="AB59">
        <v>0.31968031968031968</v>
      </c>
      <c r="AC59">
        <v>5.5146173615455627</v>
      </c>
      <c r="AD59">
        <v>0.31968031968031968</v>
      </c>
      <c r="AE59">
        <v>5.5922096777141483</v>
      </c>
      <c r="AF59">
        <v>0.31968031968031968</v>
      </c>
    </row>
    <row r="60" spans="14:32" x14ac:dyDescent="0.3">
      <c r="N60" t="s">
        <v>305</v>
      </c>
      <c r="O60">
        <v>10.258027282044292</v>
      </c>
      <c r="W60">
        <v>9.5755747288465507</v>
      </c>
      <c r="X60">
        <v>0.32967032967032966</v>
      </c>
      <c r="Y60">
        <v>8.1214900034409059</v>
      </c>
      <c r="Z60">
        <v>0.32967032967032966</v>
      </c>
      <c r="AA60">
        <v>3.5144836340445798</v>
      </c>
      <c r="AB60">
        <v>0.32967032967032966</v>
      </c>
      <c r="AC60">
        <v>5.6195229223966603</v>
      </c>
      <c r="AD60">
        <v>0.32967032967032966</v>
      </c>
      <c r="AE60">
        <v>5.6741740977145732</v>
      </c>
      <c r="AF60">
        <v>0.32967032967032966</v>
      </c>
    </row>
    <row r="61" spans="14:32" x14ac:dyDescent="0.3">
      <c r="N61" t="s">
        <v>306</v>
      </c>
      <c r="O61">
        <v>11.908974019438027</v>
      </c>
      <c r="W61">
        <v>9.8167935531139374</v>
      </c>
      <c r="X61">
        <v>0.33966033966033965</v>
      </c>
      <c r="Y61">
        <v>8.1672115912558247</v>
      </c>
      <c r="Z61">
        <v>0.33966033966033965</v>
      </c>
      <c r="AA61">
        <v>3.5501717019256471</v>
      </c>
      <c r="AB61">
        <v>0.33966033966033965</v>
      </c>
      <c r="AC61">
        <v>5.7318633043766019</v>
      </c>
      <c r="AD61">
        <v>0.33966033966033965</v>
      </c>
      <c r="AE61">
        <v>5.7608371362671171</v>
      </c>
      <c r="AF61">
        <v>0.33966033966033965</v>
      </c>
    </row>
    <row r="62" spans="14:32" x14ac:dyDescent="0.3">
      <c r="N62" t="s">
        <v>35</v>
      </c>
      <c r="O62">
        <v>12.994205366134643</v>
      </c>
      <c r="W62">
        <v>10.027057630181313</v>
      </c>
      <c r="X62">
        <v>0.34965034965034963</v>
      </c>
      <c r="Y62">
        <v>8.2170186606356435</v>
      </c>
      <c r="Z62">
        <v>0.34965034965034963</v>
      </c>
      <c r="AA62">
        <v>3.5839988022389946</v>
      </c>
      <c r="AB62">
        <v>0.34965034965034963</v>
      </c>
      <c r="AC62">
        <v>5.8410326954126361</v>
      </c>
      <c r="AD62">
        <v>0.34965034965034963</v>
      </c>
      <c r="AE62">
        <v>5.8404542365798138</v>
      </c>
      <c r="AF62">
        <v>0.34965034965034963</v>
      </c>
    </row>
    <row r="63" spans="14:32" x14ac:dyDescent="0.3">
      <c r="N63" t="s">
        <v>307</v>
      </c>
      <c r="O63">
        <v>10.082447378078967</v>
      </c>
      <c r="W63">
        <v>10.266444528102875</v>
      </c>
      <c r="X63">
        <v>0.35964035964035962</v>
      </c>
      <c r="Y63">
        <v>8.2616989673829853</v>
      </c>
      <c r="Z63">
        <v>0.35964035964035962</v>
      </c>
      <c r="AA63">
        <v>3.6159995692429092</v>
      </c>
      <c r="AB63">
        <v>0.35964035964035962</v>
      </c>
      <c r="AC63">
        <v>5.9572308864593504</v>
      </c>
      <c r="AD63">
        <v>0.35964035964035962</v>
      </c>
      <c r="AE63">
        <v>5.9210352809200657</v>
      </c>
      <c r="AF63">
        <v>0.35964035964035962</v>
      </c>
    </row>
    <row r="64" spans="14:32" x14ac:dyDescent="0.3">
      <c r="N64" t="s">
        <v>308</v>
      </c>
      <c r="O64">
        <v>3.175286975704553</v>
      </c>
      <c r="W64">
        <v>10.489629654288292</v>
      </c>
      <c r="X64">
        <v>0.3696303696303696</v>
      </c>
      <c r="Y64">
        <v>8.3043120293561916</v>
      </c>
      <c r="Z64">
        <v>0.3696303696303696</v>
      </c>
      <c r="AA64">
        <v>3.6501950920214323</v>
      </c>
      <c r="AB64">
        <v>0.3696303696303696</v>
      </c>
      <c r="AC64">
        <v>6.06858583009243</v>
      </c>
      <c r="AD64">
        <v>0.3696303696303696</v>
      </c>
      <c r="AE64">
        <v>6.0034630235107471</v>
      </c>
      <c r="AF64">
        <v>0.3696303696303696</v>
      </c>
    </row>
    <row r="65" spans="14:32" x14ac:dyDescent="0.3">
      <c r="W65">
        <v>10.734479517221452</v>
      </c>
      <c r="X65">
        <v>0.37962037962037964</v>
      </c>
      <c r="Y65">
        <v>8.3503139047660682</v>
      </c>
      <c r="Z65">
        <v>0.37962037962037964</v>
      </c>
      <c r="AA65">
        <v>3.6851244917779002</v>
      </c>
      <c r="AB65">
        <v>0.37962037962037964</v>
      </c>
      <c r="AC65">
        <v>6.1741160428524022</v>
      </c>
      <c r="AD65">
        <v>0.37962037962037964</v>
      </c>
      <c r="AE65">
        <v>6.0760335377872057</v>
      </c>
      <c r="AF65">
        <v>0.37962037962037964</v>
      </c>
    </row>
    <row r="66" spans="14:32" x14ac:dyDescent="0.3">
      <c r="W66">
        <v>10.949562956929206</v>
      </c>
      <c r="X66">
        <v>0.38961038961038963</v>
      </c>
      <c r="Y66">
        <v>8.3940275755011271</v>
      </c>
      <c r="Z66">
        <v>0.38961038961038963</v>
      </c>
      <c r="AA66">
        <v>3.7198702715821321</v>
      </c>
      <c r="AB66">
        <v>0.38961038961038963</v>
      </c>
      <c r="AC66">
        <v>6.2856266013383868</v>
      </c>
      <c r="AD66">
        <v>0.38961038961038963</v>
      </c>
      <c r="AE66">
        <v>6.1545441513265953</v>
      </c>
      <c r="AF66">
        <v>0.38961038961038963</v>
      </c>
    </row>
    <row r="67" spans="14:32" x14ac:dyDescent="0.3">
      <c r="W67">
        <v>11.185799094200135</v>
      </c>
      <c r="X67">
        <v>0.39960039960039961</v>
      </c>
      <c r="Y67">
        <v>8.4336491239593023</v>
      </c>
      <c r="Z67">
        <v>0.39960039960039961</v>
      </c>
      <c r="AA67">
        <v>3.7571321103616055</v>
      </c>
      <c r="AB67">
        <v>0.39960039960039961</v>
      </c>
      <c r="AC67">
        <v>6.393382482051849</v>
      </c>
      <c r="AD67">
        <v>0.39960039960039961</v>
      </c>
      <c r="AE67">
        <v>6.2377248540209438</v>
      </c>
      <c r="AF67">
        <v>0.39960039960039961</v>
      </c>
    </row>
    <row r="68" spans="14:32" x14ac:dyDescent="0.3">
      <c r="W68">
        <v>11.411210748553275</v>
      </c>
      <c r="X68">
        <v>0.4095904095904096</v>
      </c>
      <c r="Y68">
        <v>8.4775832114920675</v>
      </c>
      <c r="Z68">
        <v>0.4095904095904096</v>
      </c>
      <c r="AA68">
        <v>3.7917134360435245</v>
      </c>
      <c r="AB68">
        <v>0.4095904095904096</v>
      </c>
      <c r="AC68">
        <v>6.5031529949903488</v>
      </c>
      <c r="AD68">
        <v>0.4095904095904096</v>
      </c>
      <c r="AE68">
        <v>6.3117969331430137</v>
      </c>
      <c r="AF68">
        <v>0.4095904095904096</v>
      </c>
    </row>
    <row r="69" spans="14:32" x14ac:dyDescent="0.3">
      <c r="W69">
        <v>11.639502074956892</v>
      </c>
      <c r="X69">
        <v>0.41958041958041958</v>
      </c>
      <c r="Y69">
        <v>8.5184359630809237</v>
      </c>
      <c r="Z69">
        <v>0.41958041958041958</v>
      </c>
      <c r="AA69">
        <v>3.8267989896526879</v>
      </c>
      <c r="AB69">
        <v>0.41958041958041958</v>
      </c>
      <c r="AC69">
        <v>6.6129710609912875</v>
      </c>
      <c r="AD69">
        <v>0.41958041958041958</v>
      </c>
      <c r="AE69">
        <v>6.3942071413789492</v>
      </c>
      <c r="AF69">
        <v>0.41958041958041958</v>
      </c>
    </row>
    <row r="70" spans="14:32" x14ac:dyDescent="0.3">
      <c r="W70">
        <v>11.872929169297217</v>
      </c>
      <c r="X70">
        <v>0.42957042957042957</v>
      </c>
      <c r="Y70">
        <v>8.5601224295415772</v>
      </c>
      <c r="Z70">
        <v>0.42957042957042957</v>
      </c>
      <c r="AA70">
        <v>3.8627023430886585</v>
      </c>
      <c r="AB70">
        <v>0.42957042957042957</v>
      </c>
      <c r="AC70">
        <v>6.720701082825661</v>
      </c>
      <c r="AD70">
        <v>0.42957042957042957</v>
      </c>
      <c r="AE70">
        <v>6.4646257016902693</v>
      </c>
      <c r="AF70">
        <v>0.42957042957042957</v>
      </c>
    </row>
    <row r="71" spans="14:32" x14ac:dyDescent="0.3">
      <c r="N71" s="136" t="s">
        <v>312</v>
      </c>
      <c r="O71" s="136"/>
      <c r="W71">
        <v>12.101682392597198</v>
      </c>
      <c r="X71">
        <v>0.43956043956043955</v>
      </c>
      <c r="Y71">
        <v>8.5990156760292624</v>
      </c>
      <c r="Z71">
        <v>0.43956043956043955</v>
      </c>
      <c r="AA71">
        <v>3.8985868487709894</v>
      </c>
      <c r="AB71">
        <v>0.43956043956043955</v>
      </c>
      <c r="AC71">
        <v>6.8352591600418089</v>
      </c>
      <c r="AD71">
        <v>0.43956043956043955</v>
      </c>
      <c r="AE71">
        <v>6.5421929479884176</v>
      </c>
      <c r="AF71">
        <v>0.43956043956043955</v>
      </c>
    </row>
    <row r="72" spans="14:32" x14ac:dyDescent="0.3">
      <c r="N72" t="s">
        <v>34</v>
      </c>
      <c r="O72">
        <v>-3.6281595759465706</v>
      </c>
      <c r="W72">
        <v>12.331749163985252</v>
      </c>
      <c r="X72">
        <v>0.44955044955044954</v>
      </c>
      <c r="Y72">
        <v>8.6416907699902374</v>
      </c>
      <c r="Z72">
        <v>0.44955044955044954</v>
      </c>
      <c r="AA72">
        <v>3.9360775686815943</v>
      </c>
      <c r="AB72">
        <v>0.44955044955044954</v>
      </c>
      <c r="AC72">
        <v>6.9450793975591658</v>
      </c>
      <c r="AD72">
        <v>0.44955044955044954</v>
      </c>
      <c r="AE72">
        <v>6.6223356564871834</v>
      </c>
      <c r="AF72">
        <v>0.44955044955044954</v>
      </c>
    </row>
    <row r="73" spans="14:32" x14ac:dyDescent="0.3">
      <c r="N73" t="s">
        <v>302</v>
      </c>
      <c r="O73">
        <v>3.1468458313466052</v>
      </c>
      <c r="W73">
        <v>12.572975972414017</v>
      </c>
      <c r="X73">
        <v>0.45954045954045952</v>
      </c>
      <c r="Y73">
        <v>8.6778124368242953</v>
      </c>
      <c r="Z73">
        <v>0.45954045954045952</v>
      </c>
      <c r="AA73">
        <v>3.9738325275042907</v>
      </c>
      <c r="AB73">
        <v>0.45954045954045952</v>
      </c>
      <c r="AC73">
        <v>7.0541700580120086</v>
      </c>
      <c r="AD73">
        <v>0.45954045954045952</v>
      </c>
      <c r="AE73">
        <v>6.6964564330220222</v>
      </c>
      <c r="AF73">
        <v>0.45954045954045952</v>
      </c>
    </row>
    <row r="74" spans="14:32" x14ac:dyDescent="0.3">
      <c r="N74" t="s">
        <v>303</v>
      </c>
      <c r="O74">
        <v>4.9712715082463816</v>
      </c>
      <c r="W74">
        <v>12.793798357129097</v>
      </c>
      <c r="X74">
        <v>0.46953046953046951</v>
      </c>
      <c r="Y74">
        <v>8.7176806825753275</v>
      </c>
      <c r="Z74">
        <v>0.46953046953046951</v>
      </c>
      <c r="AA74">
        <v>4.0123411391103003</v>
      </c>
      <c r="AB74">
        <v>0.46953046953046951</v>
      </c>
      <c r="AC74">
        <v>7.1678533078432087</v>
      </c>
      <c r="AD74">
        <v>0.46953046953046951</v>
      </c>
      <c r="AE74">
        <v>6.771513201079582</v>
      </c>
      <c r="AF74">
        <v>0.46953046953046951</v>
      </c>
    </row>
    <row r="75" spans="14:32" x14ac:dyDescent="0.3">
      <c r="N75" t="s">
        <v>304</v>
      </c>
      <c r="O75">
        <v>7.0012137159565793</v>
      </c>
      <c r="W75">
        <v>13.038857606887817</v>
      </c>
      <c r="X75">
        <v>0.47952047952047955</v>
      </c>
      <c r="Y75">
        <v>8.7570166660384228</v>
      </c>
      <c r="Z75">
        <v>0.47952047952047955</v>
      </c>
      <c r="AA75">
        <v>4.0488662137760993</v>
      </c>
      <c r="AB75">
        <v>0.47952047952047955</v>
      </c>
      <c r="AC75">
        <v>7.2780323071479796</v>
      </c>
      <c r="AD75">
        <v>0.47952047952047955</v>
      </c>
      <c r="AE75">
        <v>6.8485794039099703</v>
      </c>
      <c r="AF75">
        <v>0.47952047952047955</v>
      </c>
    </row>
    <row r="76" spans="14:32" x14ac:dyDescent="0.3">
      <c r="N76" t="s">
        <v>32</v>
      </c>
      <c r="O76">
        <v>6.9997319620355505</v>
      </c>
      <c r="W76">
        <v>13.267472927927971</v>
      </c>
      <c r="X76">
        <v>0.48951048951048953</v>
      </c>
      <c r="Y76">
        <v>8.7953012403370483</v>
      </c>
      <c r="Z76">
        <v>0.48951048951048953</v>
      </c>
      <c r="AA76">
        <v>4.087862807176128</v>
      </c>
      <c r="AB76">
        <v>0.48951048951048953</v>
      </c>
      <c r="AC76">
        <v>7.3895793932676312</v>
      </c>
      <c r="AD76">
        <v>0.48951048951048953</v>
      </c>
      <c r="AE76">
        <v>6.9194523074385597</v>
      </c>
      <c r="AF76">
        <v>0.48951048951048953</v>
      </c>
    </row>
    <row r="77" spans="14:32" x14ac:dyDescent="0.3">
      <c r="N77" t="s">
        <v>305</v>
      </c>
      <c r="O77">
        <v>9.0243146092862929</v>
      </c>
      <c r="W77">
        <v>13.488687830686569</v>
      </c>
      <c r="X77">
        <v>0.49950049950049952</v>
      </c>
      <c r="Y77">
        <v>8.8323281000281373</v>
      </c>
      <c r="Z77">
        <v>0.49950049950049952</v>
      </c>
      <c r="AA77">
        <v>4.1254684149921532</v>
      </c>
      <c r="AB77">
        <v>0.49950049950049952</v>
      </c>
      <c r="AC77">
        <v>7.4891891081333162</v>
      </c>
      <c r="AD77">
        <v>0.49950049950049952</v>
      </c>
      <c r="AE77">
        <v>6.9962590844567147</v>
      </c>
      <c r="AF77">
        <v>0.49950049950049952</v>
      </c>
    </row>
    <row r="78" spans="14:32" x14ac:dyDescent="0.3">
      <c r="N78" t="s">
        <v>306</v>
      </c>
      <c r="O78">
        <v>10.857252767947605</v>
      </c>
      <c r="W78">
        <v>13.716359485268592</v>
      </c>
      <c r="X78">
        <v>0.50949050949050945</v>
      </c>
      <c r="Y78">
        <v>8.8716985409855624</v>
      </c>
      <c r="Z78">
        <v>0.50949050949050945</v>
      </c>
      <c r="AA78">
        <v>4.1621056565164425</v>
      </c>
      <c r="AB78">
        <v>0.50949050949050945</v>
      </c>
      <c r="AC78">
        <v>7.6027898193597796</v>
      </c>
      <c r="AD78">
        <v>0.50949050949050945</v>
      </c>
      <c r="AE78">
        <v>7.07088973374813</v>
      </c>
      <c r="AF78">
        <v>0.50949050949050945</v>
      </c>
    </row>
    <row r="79" spans="14:32" x14ac:dyDescent="0.3">
      <c r="N79" t="s">
        <v>35</v>
      </c>
      <c r="O79">
        <v>17.568778460410414</v>
      </c>
      <c r="W79">
        <v>13.94050979566574</v>
      </c>
      <c r="X79">
        <v>0.51948051948051943</v>
      </c>
      <c r="Y79">
        <v>8.9068197985668363</v>
      </c>
      <c r="Z79">
        <v>0.51948051948051943</v>
      </c>
      <c r="AA79">
        <v>4.2038240355675995</v>
      </c>
      <c r="AB79">
        <v>0.51948051948051943</v>
      </c>
      <c r="AC79">
        <v>7.7163576850891111</v>
      </c>
      <c r="AD79">
        <v>0.51948051948051943</v>
      </c>
      <c r="AE79">
        <v>7.143717776870643</v>
      </c>
      <c r="AF79">
        <v>0.51948051948051943</v>
      </c>
    </row>
    <row r="80" spans="14:32" x14ac:dyDescent="0.3">
      <c r="N80" t="s">
        <v>307</v>
      </c>
      <c r="O80">
        <v>9.0090106953911828</v>
      </c>
      <c r="W80">
        <v>14.178906942725181</v>
      </c>
      <c r="X80">
        <v>0.52947052947052942</v>
      </c>
      <c r="Y80">
        <v>8.944822786364405</v>
      </c>
      <c r="Z80">
        <v>0.52947052947052942</v>
      </c>
      <c r="AA80">
        <v>4.2427359388382175</v>
      </c>
      <c r="AB80">
        <v>0.52947052947052942</v>
      </c>
      <c r="AC80">
        <v>7.8217267125844963</v>
      </c>
      <c r="AD80">
        <v>0.52947052947052942</v>
      </c>
      <c r="AE80">
        <v>7.2221451434651858</v>
      </c>
      <c r="AF80">
        <v>0.52947052947052942</v>
      </c>
    </row>
    <row r="81" spans="14:32" x14ac:dyDescent="0.3">
      <c r="N81" t="s">
        <v>308</v>
      </c>
      <c r="O81">
        <v>3.0015014068614367</v>
      </c>
      <c r="W81">
        <v>14.402596145868301</v>
      </c>
      <c r="X81">
        <v>0.53946053946053951</v>
      </c>
      <c r="Y81">
        <v>8.9823735323822707</v>
      </c>
      <c r="Z81">
        <v>0.53946053946053951</v>
      </c>
      <c r="AA81">
        <v>4.2836825750483705</v>
      </c>
      <c r="AB81">
        <v>0.53946053946053951</v>
      </c>
      <c r="AC81">
        <v>7.933738660573959</v>
      </c>
      <c r="AD81">
        <v>0.53946053946053951</v>
      </c>
      <c r="AE81">
        <v>7.296686256475633</v>
      </c>
      <c r="AF81">
        <v>0.53946053946053951</v>
      </c>
    </row>
    <row r="82" spans="14:32" x14ac:dyDescent="0.3">
      <c r="W82">
        <v>14.640848393559455</v>
      </c>
      <c r="X82">
        <v>0.5494505494505495</v>
      </c>
      <c r="Y82">
        <v>9.0167855880805199</v>
      </c>
      <c r="Z82">
        <v>0.5494505494505495</v>
      </c>
      <c r="AA82">
        <v>4.3238925223234528</v>
      </c>
      <c r="AB82">
        <v>0.5494505494505495</v>
      </c>
      <c r="AC82">
        <v>8.0488265353441228</v>
      </c>
      <c r="AD82">
        <v>0.5494505494505495</v>
      </c>
      <c r="AE82">
        <v>7.37204001381075</v>
      </c>
      <c r="AF82">
        <v>0.5494505494505495</v>
      </c>
    </row>
    <row r="83" spans="14:32" x14ac:dyDescent="0.3">
      <c r="W83">
        <v>14.863745892524719</v>
      </c>
      <c r="X83">
        <v>0.55944055944055948</v>
      </c>
      <c r="Y83">
        <v>9.0528751208832023</v>
      </c>
      <c r="Z83">
        <v>0.55944055944055948</v>
      </c>
      <c r="AA83">
        <v>4.3666962277742964</v>
      </c>
      <c r="AB83">
        <v>0.55944055944055948</v>
      </c>
      <c r="AC83">
        <v>8.149875430583954</v>
      </c>
      <c r="AD83">
        <v>0.55944055944055948</v>
      </c>
      <c r="AE83">
        <v>7.4517436407909834</v>
      </c>
      <c r="AF83">
        <v>0.55944055944055948</v>
      </c>
    </row>
    <row r="84" spans="14:32" x14ac:dyDescent="0.3">
      <c r="W84">
        <v>15.097372985720634</v>
      </c>
      <c r="X84">
        <v>0.56943056943056947</v>
      </c>
      <c r="Y84">
        <v>9.0907121606567181</v>
      </c>
      <c r="Z84">
        <v>0.56943056943056947</v>
      </c>
      <c r="AA84">
        <v>4.4042982652823319</v>
      </c>
      <c r="AB84">
        <v>0.56943056943056947</v>
      </c>
      <c r="AC84">
        <v>8.2659544609785076</v>
      </c>
      <c r="AD84">
        <v>0.56943056943056947</v>
      </c>
      <c r="AE84">
        <v>7.527264704302679</v>
      </c>
      <c r="AF84">
        <v>0.56943056943056947</v>
      </c>
    </row>
    <row r="85" spans="14:32" x14ac:dyDescent="0.3">
      <c r="W85">
        <v>15.335331289052963</v>
      </c>
      <c r="X85">
        <v>0.57942057942057945</v>
      </c>
      <c r="Y85">
        <v>9.1272641340467739</v>
      </c>
      <c r="Z85">
        <v>0.57942057942057945</v>
      </c>
      <c r="AA85">
        <v>4.4474673208790776</v>
      </c>
      <c r="AB85">
        <v>0.57942057942057945</v>
      </c>
      <c r="AC85">
        <v>8.3782635395526874</v>
      </c>
      <c r="AD85">
        <v>0.57942057942057945</v>
      </c>
      <c r="AE85">
        <v>7.6024055105258954</v>
      </c>
      <c r="AF85">
        <v>0.57942057942057945</v>
      </c>
    </row>
    <row r="86" spans="14:32" x14ac:dyDescent="0.3">
      <c r="W86">
        <v>15.552047796845438</v>
      </c>
      <c r="X86">
        <v>0.58941058941058944</v>
      </c>
      <c r="Y86">
        <v>9.1616871641243858</v>
      </c>
      <c r="Z86">
        <v>0.58941058941058944</v>
      </c>
      <c r="AA86">
        <v>4.4918546337553718</v>
      </c>
      <c r="AB86">
        <v>0.58941058941058944</v>
      </c>
      <c r="AC86">
        <v>8.483388748764991</v>
      </c>
      <c r="AD86">
        <v>0.58941058941058944</v>
      </c>
      <c r="AE86">
        <v>7.6792439153727248</v>
      </c>
      <c r="AF86">
        <v>0.58941058941058944</v>
      </c>
    </row>
    <row r="87" spans="14:32" x14ac:dyDescent="0.3">
      <c r="W87">
        <v>15.784094706058502</v>
      </c>
      <c r="X87">
        <v>0.59940059940059942</v>
      </c>
      <c r="Y87">
        <v>9.1954409252528269</v>
      </c>
      <c r="Z87">
        <v>0.59940059940059942</v>
      </c>
      <c r="AA87">
        <v>4.5346684593017201</v>
      </c>
      <c r="AB87">
        <v>0.59940059940059942</v>
      </c>
      <c r="AC87">
        <v>8.5997100553512578</v>
      </c>
      <c r="AD87">
        <v>0.59940059940059942</v>
      </c>
      <c r="AE87">
        <v>7.7549854094325656</v>
      </c>
      <c r="AF87">
        <v>0.59940059940059942</v>
      </c>
    </row>
    <row r="88" spans="14:32" x14ac:dyDescent="0.3">
      <c r="W88">
        <v>16.021489709258081</v>
      </c>
      <c r="X88">
        <v>0.60939060939060941</v>
      </c>
      <c r="Y88">
        <v>9.2336946075674309</v>
      </c>
      <c r="Z88">
        <v>0.60939060939060941</v>
      </c>
      <c r="AA88">
        <v>4.5793940752332318</v>
      </c>
      <c r="AB88">
        <v>0.60939060939060941</v>
      </c>
      <c r="AC88">
        <v>8.7035551189184179</v>
      </c>
      <c r="AD88">
        <v>0.60939060939060941</v>
      </c>
      <c r="AE88">
        <v>7.8361629038847225</v>
      </c>
      <c r="AF88">
        <v>0.60939060939060941</v>
      </c>
    </row>
    <row r="89" spans="14:32" x14ac:dyDescent="0.3">
      <c r="W89">
        <v>16.254695506334304</v>
      </c>
      <c r="X89">
        <v>0.61938061938061939</v>
      </c>
      <c r="Y89">
        <v>9.2670892371291114</v>
      </c>
      <c r="Z89">
        <v>0.61938061938061939</v>
      </c>
      <c r="AA89">
        <v>4.6232079908284547</v>
      </c>
      <c r="AB89">
        <v>0.61938061938061939</v>
      </c>
      <c r="AC89">
        <v>8.8154429442882538</v>
      </c>
      <c r="AD89">
        <v>0.61938061938061939</v>
      </c>
      <c r="AE89">
        <v>7.9161807636189661</v>
      </c>
      <c r="AF89">
        <v>0.61938061938061939</v>
      </c>
    </row>
    <row r="90" spans="14:32" x14ac:dyDescent="0.3">
      <c r="W90">
        <v>16.476787284970285</v>
      </c>
      <c r="X90">
        <v>0.62937062937062938</v>
      </c>
      <c r="Y90">
        <v>9.301607645342072</v>
      </c>
      <c r="Z90">
        <v>0.62937062937062938</v>
      </c>
      <c r="AA90">
        <v>4.667252853218792</v>
      </c>
      <c r="AB90">
        <v>0.62937062937062938</v>
      </c>
      <c r="AC90">
        <v>8.9205111275911335</v>
      </c>
      <c r="AD90">
        <v>0.62937062937062938</v>
      </c>
      <c r="AE90">
        <v>7.987965301856673</v>
      </c>
      <c r="AF90">
        <v>0.62937062937062938</v>
      </c>
    </row>
    <row r="91" spans="14:32" x14ac:dyDescent="0.3">
      <c r="W91">
        <v>16.699006919860842</v>
      </c>
      <c r="X91">
        <v>0.63936063936063936</v>
      </c>
      <c r="Y91">
        <v>9.3363664193734994</v>
      </c>
      <c r="Z91">
        <v>0.63936063936063936</v>
      </c>
      <c r="AA91">
        <v>4.7132890596657102</v>
      </c>
      <c r="AB91">
        <v>0.63936063936063936</v>
      </c>
      <c r="AC91">
        <v>9.0369704461097733</v>
      </c>
      <c r="AD91">
        <v>0.63936063936063936</v>
      </c>
      <c r="AE91">
        <v>8.0738645512117486</v>
      </c>
      <c r="AF91">
        <v>0.63936063936063936</v>
      </c>
    </row>
    <row r="92" spans="14:32" x14ac:dyDescent="0.3">
      <c r="W92">
        <v>16.928672640681267</v>
      </c>
      <c r="X92">
        <v>0.64935064935064934</v>
      </c>
      <c r="Y92">
        <v>9.3730273913469073</v>
      </c>
      <c r="Z92">
        <v>0.64935064935064934</v>
      </c>
      <c r="AA92">
        <v>4.7582835541022384</v>
      </c>
      <c r="AB92">
        <v>0.64935064935064934</v>
      </c>
      <c r="AC92">
        <v>9.1441805418729771</v>
      </c>
      <c r="AD92">
        <v>0.64935064935064934</v>
      </c>
      <c r="AE92">
        <v>8.1509893189188531</v>
      </c>
      <c r="AF92">
        <v>0.64935064935064934</v>
      </c>
    </row>
    <row r="93" spans="14:32" x14ac:dyDescent="0.3">
      <c r="W93">
        <v>17.179162918806078</v>
      </c>
      <c r="X93">
        <v>0.65934065934065933</v>
      </c>
      <c r="Y93">
        <v>9.40780008737784</v>
      </c>
      <c r="Z93">
        <v>0.65934065934065933</v>
      </c>
      <c r="AA93">
        <v>4.8056395735202644</v>
      </c>
      <c r="AB93">
        <v>0.65934065934065933</v>
      </c>
      <c r="AC93">
        <v>9.2566904489994037</v>
      </c>
      <c r="AD93">
        <v>0.65934065934065933</v>
      </c>
      <c r="AE93">
        <v>8.234816925517082</v>
      </c>
      <c r="AF93">
        <v>0.65934065934065933</v>
      </c>
    </row>
    <row r="94" spans="14:32" x14ac:dyDescent="0.3">
      <c r="W94">
        <v>17.403443322777747</v>
      </c>
      <c r="X94">
        <v>0.66933066933066931</v>
      </c>
      <c r="Y94">
        <v>9.4418687752420372</v>
      </c>
      <c r="Z94">
        <v>0.66933066933066931</v>
      </c>
      <c r="AA94">
        <v>4.8532399644609381</v>
      </c>
      <c r="AB94">
        <v>0.66933066933066931</v>
      </c>
      <c r="AC94">
        <v>9.3613377147912971</v>
      </c>
      <c r="AD94">
        <v>0.66933066933066931</v>
      </c>
      <c r="AE94">
        <v>8.3123248655463353</v>
      </c>
      <c r="AF94">
        <v>0.66933066933066931</v>
      </c>
    </row>
    <row r="95" spans="14:32" x14ac:dyDescent="0.3">
      <c r="W95">
        <v>17.639355092525484</v>
      </c>
      <c r="X95">
        <v>0.6793206793206793</v>
      </c>
      <c r="Y95">
        <v>9.4773164406456285</v>
      </c>
      <c r="Z95">
        <v>0.6793206793206793</v>
      </c>
      <c r="AA95">
        <v>4.8971338086139742</v>
      </c>
      <c r="AB95">
        <v>0.6793206793206793</v>
      </c>
      <c r="AC95">
        <v>9.4762498645782465</v>
      </c>
      <c r="AD95">
        <v>0.6793206793206793</v>
      </c>
      <c r="AE95">
        <v>8.4021721361922008</v>
      </c>
      <c r="AF95">
        <v>0.6793206793206793</v>
      </c>
    </row>
    <row r="96" spans="14:32" x14ac:dyDescent="0.3">
      <c r="W96">
        <v>17.855634182333947</v>
      </c>
      <c r="X96">
        <v>0.68931068931068928</v>
      </c>
      <c r="Y96">
        <v>9.5117575842188788</v>
      </c>
      <c r="Z96">
        <v>0.68931068931068928</v>
      </c>
      <c r="AA96">
        <v>4.946552834577342</v>
      </c>
      <c r="AB96">
        <v>0.68931068931068928</v>
      </c>
      <c r="AC96">
        <v>9.5873419603109369</v>
      </c>
      <c r="AD96">
        <v>0.68931068931068928</v>
      </c>
      <c r="AE96">
        <v>8.4791524102376901</v>
      </c>
      <c r="AF96">
        <v>0.68931068931068928</v>
      </c>
    </row>
    <row r="97" spans="23:32" x14ac:dyDescent="0.3">
      <c r="W97">
        <v>18.097379522562029</v>
      </c>
      <c r="X97">
        <v>0.69930069930069927</v>
      </c>
      <c r="Y97">
        <v>9.5455704903307854</v>
      </c>
      <c r="Z97">
        <v>0.69930069930069927</v>
      </c>
      <c r="AA97">
        <v>4.9967928327037523</v>
      </c>
      <c r="AB97">
        <v>0.69930069930069927</v>
      </c>
      <c r="AC97">
        <v>9.6936540029048928</v>
      </c>
      <c r="AD97">
        <v>0.69930069930069927</v>
      </c>
      <c r="AE97">
        <v>8.5693110437203828</v>
      </c>
      <c r="AF97">
        <v>0.69930069930069927</v>
      </c>
    </row>
    <row r="98" spans="23:32" x14ac:dyDescent="0.3">
      <c r="W98">
        <v>18.316439250111582</v>
      </c>
      <c r="X98">
        <v>0.70929070929070925</v>
      </c>
      <c r="Y98">
        <v>9.5784910283668516</v>
      </c>
      <c r="Z98">
        <v>0.70929070929070925</v>
      </c>
      <c r="AA98">
        <v>5.0478991676809724</v>
      </c>
      <c r="AB98">
        <v>0.70929070929070925</v>
      </c>
      <c r="AC98">
        <v>9.7996219283342363</v>
      </c>
      <c r="AD98">
        <v>0.70929070929070925</v>
      </c>
      <c r="AE98">
        <v>8.6590838538677772</v>
      </c>
      <c r="AF98">
        <v>0.70929070929070925</v>
      </c>
    </row>
    <row r="99" spans="23:32" x14ac:dyDescent="0.3">
      <c r="W99">
        <v>18.542933657646177</v>
      </c>
      <c r="X99">
        <v>0.71928071928071924</v>
      </c>
      <c r="Y99">
        <v>9.6147164410506036</v>
      </c>
      <c r="Z99">
        <v>0.71928071928071924</v>
      </c>
      <c r="AA99">
        <v>5.0998444401600196</v>
      </c>
      <c r="AB99">
        <v>0.71928071928071924</v>
      </c>
      <c r="AC99">
        <v>9.915125947475433</v>
      </c>
      <c r="AD99">
        <v>0.71928071928071924</v>
      </c>
      <c r="AE99">
        <v>8.7413265871694641</v>
      </c>
      <c r="AF99">
        <v>0.71928071928071924</v>
      </c>
    </row>
    <row r="100" spans="23:32" x14ac:dyDescent="0.3">
      <c r="W100">
        <v>18.771883611559868</v>
      </c>
      <c r="X100">
        <v>0.72927072927072922</v>
      </c>
      <c r="Y100">
        <v>9.6480533171711418</v>
      </c>
      <c r="Z100">
        <v>0.72927072927072922</v>
      </c>
      <c r="AA100">
        <v>5.1517426152763246</v>
      </c>
      <c r="AB100">
        <v>0.72927072927072922</v>
      </c>
      <c r="AC100">
        <v>10.027909979701043</v>
      </c>
      <c r="AD100">
        <v>0.72927072927072922</v>
      </c>
      <c r="AE100">
        <v>8.8305927602830927</v>
      </c>
      <c r="AF100">
        <v>0.72927072927072922</v>
      </c>
    </row>
    <row r="101" spans="23:32" x14ac:dyDescent="0.3">
      <c r="W101">
        <v>19.002663188695909</v>
      </c>
      <c r="X101">
        <v>0.73926073926073921</v>
      </c>
      <c r="Y101">
        <v>9.682634854510539</v>
      </c>
      <c r="Z101">
        <v>0.73926073926073921</v>
      </c>
      <c r="AA101">
        <v>5.20577437206002</v>
      </c>
      <c r="AB101">
        <v>0.73926073926073921</v>
      </c>
      <c r="AC101">
        <v>10.136715930223465</v>
      </c>
      <c r="AD101">
        <v>0.73926073926073921</v>
      </c>
      <c r="AE101">
        <v>8.9261381473821615</v>
      </c>
      <c r="AF101">
        <v>0.73926073926073921</v>
      </c>
    </row>
    <row r="102" spans="23:32" x14ac:dyDescent="0.3">
      <c r="W102">
        <v>19.23074528181553</v>
      </c>
      <c r="X102">
        <v>0.7492507492507493</v>
      </c>
      <c r="Y102">
        <v>9.7174394529644044</v>
      </c>
      <c r="Z102">
        <v>0.7492507492507493</v>
      </c>
      <c r="AA102">
        <v>5.2561174431237969</v>
      </c>
      <c r="AB102">
        <v>0.7492507492507493</v>
      </c>
      <c r="AC102">
        <v>10.249226561188697</v>
      </c>
      <c r="AD102">
        <v>0.7492507492507493</v>
      </c>
      <c r="AE102">
        <v>9.0218399455033129</v>
      </c>
      <c r="AF102">
        <v>0.7492507492507493</v>
      </c>
    </row>
    <row r="103" spans="23:32" x14ac:dyDescent="0.3">
      <c r="W103">
        <v>19.47295892381668</v>
      </c>
      <c r="X103">
        <v>0.75924075924075929</v>
      </c>
      <c r="Y103">
        <v>9.7553884460508957</v>
      </c>
      <c r="Z103">
        <v>0.75924075924075929</v>
      </c>
      <c r="AA103">
        <v>5.3139813367181166</v>
      </c>
      <c r="AB103">
        <v>0.75924075924075929</v>
      </c>
      <c r="AC103">
        <v>10.350660706520081</v>
      </c>
      <c r="AD103">
        <v>0.75924075924075929</v>
      </c>
      <c r="AE103">
        <v>9.1167692367132762</v>
      </c>
      <c r="AF103">
        <v>0.75924075924075929</v>
      </c>
    </row>
    <row r="104" spans="23:32" x14ac:dyDescent="0.3">
      <c r="W104">
        <v>19.706227080702782</v>
      </c>
      <c r="X104">
        <v>0.76923076923076927</v>
      </c>
      <c r="Y104">
        <v>9.7874704825387369</v>
      </c>
      <c r="Z104">
        <v>0.76923076923076927</v>
      </c>
      <c r="AA104">
        <v>5.3701603877360924</v>
      </c>
      <c r="AB104">
        <v>0.76923076923076927</v>
      </c>
      <c r="AC104">
        <v>10.461614580512046</v>
      </c>
      <c r="AD104">
        <v>0.76923076923076927</v>
      </c>
      <c r="AE104">
        <v>9.2147576772283806</v>
      </c>
      <c r="AF104">
        <v>0.76923076923076927</v>
      </c>
    </row>
    <row r="105" spans="23:32" x14ac:dyDescent="0.3">
      <c r="W105">
        <v>19.927503663301469</v>
      </c>
      <c r="X105">
        <v>0.77922077922077926</v>
      </c>
      <c r="Y105">
        <v>9.8256963862101045</v>
      </c>
      <c r="Z105">
        <v>0.77922077922077926</v>
      </c>
      <c r="AA105">
        <v>5.425664393482589</v>
      </c>
      <c r="AB105">
        <v>0.77922077922077926</v>
      </c>
      <c r="AC105">
        <v>10.576492930173874</v>
      </c>
      <c r="AD105">
        <v>0.77922077922077926</v>
      </c>
      <c r="AE105">
        <v>9.3115076596746746</v>
      </c>
      <c r="AF105">
        <v>0.77922077922077926</v>
      </c>
    </row>
    <row r="106" spans="23:32" x14ac:dyDescent="0.3">
      <c r="W106">
        <v>20.157378507733345</v>
      </c>
      <c r="X106">
        <v>0.78921078921078924</v>
      </c>
      <c r="Y106">
        <v>9.8592076885428472</v>
      </c>
      <c r="Z106">
        <v>0.78921078921078924</v>
      </c>
      <c r="AA106">
        <v>5.4895184546922726</v>
      </c>
      <c r="AB106">
        <v>0.78921078921078924</v>
      </c>
      <c r="AC106">
        <v>10.683623781323433</v>
      </c>
      <c r="AD106">
        <v>0.78921078921078924</v>
      </c>
      <c r="AE106">
        <v>9.4114078171926607</v>
      </c>
      <c r="AF106">
        <v>0.78921078921078924</v>
      </c>
    </row>
    <row r="107" spans="23:32" x14ac:dyDescent="0.3">
      <c r="W107">
        <v>20.399569074630737</v>
      </c>
      <c r="X107">
        <v>0.79920079920079923</v>
      </c>
      <c r="Y107">
        <v>9.897665838272399</v>
      </c>
      <c r="Z107">
        <v>0.79920079920079923</v>
      </c>
      <c r="AA107">
        <v>5.5477717761916097</v>
      </c>
      <c r="AB107">
        <v>0.79920079920079923</v>
      </c>
      <c r="AC107">
        <v>10.795900528430938</v>
      </c>
      <c r="AD107">
        <v>0.79920079920079923</v>
      </c>
      <c r="AE107">
        <v>9.5212618986703781</v>
      </c>
      <c r="AF107">
        <v>0.79920079920079923</v>
      </c>
    </row>
    <row r="108" spans="23:32" x14ac:dyDescent="0.3">
      <c r="W108">
        <v>20.620267617106439</v>
      </c>
      <c r="X108">
        <v>0.80919080919080921</v>
      </c>
      <c r="Y108">
        <v>9.9311051369259431</v>
      </c>
      <c r="Z108">
        <v>0.80919080919080921</v>
      </c>
      <c r="AA108">
        <v>5.6100431238956547</v>
      </c>
      <c r="AB108">
        <v>0.80919080919080921</v>
      </c>
      <c r="AC108">
        <v>10.901545118212701</v>
      </c>
      <c r="AD108">
        <v>0.80919080919080921</v>
      </c>
      <c r="AE108">
        <v>9.6249623096358157</v>
      </c>
      <c r="AF108">
        <v>0.80919080919080921</v>
      </c>
    </row>
    <row r="109" spans="23:32" x14ac:dyDescent="0.3">
      <c r="W109">
        <v>20.840062567472458</v>
      </c>
      <c r="X109">
        <v>0.8191808191808192</v>
      </c>
      <c r="Y109">
        <v>9.9704474317778882</v>
      </c>
      <c r="Z109">
        <v>0.8191808191808192</v>
      </c>
      <c r="AA109">
        <v>5.6741420990412115</v>
      </c>
      <c r="AB109">
        <v>0.8191808191808192</v>
      </c>
      <c r="AC109">
        <v>11.011336076974869</v>
      </c>
      <c r="AD109">
        <v>0.8191808191808192</v>
      </c>
      <c r="AE109">
        <v>9.7374101461085942</v>
      </c>
      <c r="AF109">
        <v>0.8191808191808192</v>
      </c>
    </row>
    <row r="110" spans="23:32" x14ac:dyDescent="0.3">
      <c r="W110">
        <v>21.068902892708778</v>
      </c>
      <c r="X110">
        <v>0.82917082917082918</v>
      </c>
      <c r="Y110">
        <v>10.004176593611621</v>
      </c>
      <c r="Z110">
        <v>0.82917082917082918</v>
      </c>
      <c r="AA110">
        <v>5.7407133277968576</v>
      </c>
      <c r="AB110">
        <v>0.82917082917082918</v>
      </c>
      <c r="AC110">
        <v>11.129395131707192</v>
      </c>
      <c r="AD110">
        <v>0.82917082917082918</v>
      </c>
      <c r="AE110">
        <v>9.8595199293855824</v>
      </c>
      <c r="AF110">
        <v>0.82917082917082918</v>
      </c>
    </row>
    <row r="111" spans="23:32" x14ac:dyDescent="0.3">
      <c r="W111">
        <v>21.303324168682099</v>
      </c>
      <c r="X111">
        <v>0.83916083916083917</v>
      </c>
      <c r="Y111">
        <v>10.043750555732023</v>
      </c>
      <c r="Z111">
        <v>0.83916083916083917</v>
      </c>
      <c r="AA111">
        <v>5.8027853488985581</v>
      </c>
      <c r="AB111">
        <v>0.83916083916083917</v>
      </c>
      <c r="AC111">
        <v>11.230376174926757</v>
      </c>
      <c r="AD111">
        <v>0.83916083916083917</v>
      </c>
      <c r="AE111">
        <v>9.9749411387511007</v>
      </c>
      <c r="AF111">
        <v>0.83916083916083917</v>
      </c>
    </row>
    <row r="112" spans="23:32" x14ac:dyDescent="0.3">
      <c r="W112">
        <v>21.534905123114587</v>
      </c>
      <c r="X112">
        <v>0.84915084915084915</v>
      </c>
      <c r="Y112">
        <v>10.081151788720925</v>
      </c>
      <c r="Z112">
        <v>0.84915084915084915</v>
      </c>
      <c r="AA112">
        <v>5.87382165901737</v>
      </c>
      <c r="AB112">
        <v>0.84915084915084915</v>
      </c>
      <c r="AC112">
        <v>11.339650323271751</v>
      </c>
      <c r="AD112">
        <v>0.84915084915084915</v>
      </c>
      <c r="AE112">
        <v>10.096796217872749</v>
      </c>
      <c r="AF112">
        <v>0.84915084915084915</v>
      </c>
    </row>
    <row r="113" spans="23:32" x14ac:dyDescent="0.3">
      <c r="W113">
        <v>21.770673397302627</v>
      </c>
      <c r="X113">
        <v>0.85914085914085914</v>
      </c>
      <c r="Y113">
        <v>10.121121949224019</v>
      </c>
      <c r="Z113">
        <v>0.85914085914085914</v>
      </c>
      <c r="AA113">
        <v>5.9467885127059503</v>
      </c>
      <c r="AB113">
        <v>0.85914085914085914</v>
      </c>
      <c r="AC113">
        <v>11.4528308198452</v>
      </c>
      <c r="AD113">
        <v>0.85914085914085914</v>
      </c>
      <c r="AE113">
        <v>10.233292236537</v>
      </c>
      <c r="AF113">
        <v>0.85914085914085914</v>
      </c>
    </row>
    <row r="114" spans="23:32" x14ac:dyDescent="0.3">
      <c r="W114">
        <v>22.002929276585579</v>
      </c>
      <c r="X114">
        <v>0.86913086913086912</v>
      </c>
      <c r="Y114">
        <v>10.158729964363085</v>
      </c>
      <c r="Z114">
        <v>0.86913086913086912</v>
      </c>
      <c r="AA114">
        <v>6.0205499747823357</v>
      </c>
      <c r="AB114">
        <v>0.86913086913086912</v>
      </c>
      <c r="AC114">
        <v>11.561731530308723</v>
      </c>
      <c r="AD114">
        <v>0.86913086913086912</v>
      </c>
      <c r="AE114">
        <v>10.376171657102915</v>
      </c>
      <c r="AF114">
        <v>0.86913086913086912</v>
      </c>
    </row>
    <row r="115" spans="23:32" x14ac:dyDescent="0.3">
      <c r="W115">
        <v>22.232706139564513</v>
      </c>
      <c r="X115">
        <v>0.87912087912087911</v>
      </c>
      <c r="Y115">
        <v>10.198858145862351</v>
      </c>
      <c r="Z115">
        <v>0.87912087912087911</v>
      </c>
      <c r="AA115">
        <v>6.0974337491355985</v>
      </c>
      <c r="AB115">
        <v>0.87912087912087911</v>
      </c>
      <c r="AC115">
        <v>11.671602782726287</v>
      </c>
      <c r="AD115">
        <v>0.87912087912087911</v>
      </c>
      <c r="AE115">
        <v>10.512289984730261</v>
      </c>
      <c r="AF115">
        <v>0.87912087912087911</v>
      </c>
    </row>
    <row r="116" spans="23:32" x14ac:dyDescent="0.3">
      <c r="W116">
        <v>22.449836376070976</v>
      </c>
      <c r="X116">
        <v>0.88911088911088909</v>
      </c>
      <c r="Y116">
        <v>10.239718497074804</v>
      </c>
      <c r="Z116">
        <v>0.88911088911088909</v>
      </c>
      <c r="AA116">
        <v>6.1832760809301552</v>
      </c>
      <c r="AB116">
        <v>0.88911088911088909</v>
      </c>
      <c r="AC116">
        <v>11.785238301157952</v>
      </c>
      <c r="AD116">
        <v>0.88911088911088909</v>
      </c>
      <c r="AE116">
        <v>10.664763447601473</v>
      </c>
      <c r="AF116">
        <v>0.88911088911088909</v>
      </c>
    </row>
    <row r="117" spans="23:32" x14ac:dyDescent="0.3">
      <c r="W117">
        <v>22.685341523885725</v>
      </c>
      <c r="X117">
        <v>0.89910089910089908</v>
      </c>
      <c r="Y117">
        <v>10.282922785554758</v>
      </c>
      <c r="Z117">
        <v>0.89910089910089908</v>
      </c>
      <c r="AA117">
        <v>6.265052034322836</v>
      </c>
      <c r="AB117">
        <v>0.89910089910089908</v>
      </c>
      <c r="AC117">
        <v>11.898296983003616</v>
      </c>
      <c r="AD117">
        <v>0.89910089910089908</v>
      </c>
      <c r="AE117">
        <v>10.843064887984424</v>
      </c>
      <c r="AF117">
        <v>0.89910089910089908</v>
      </c>
    </row>
    <row r="118" spans="23:32" x14ac:dyDescent="0.3">
      <c r="W118">
        <v>22.912615374207498</v>
      </c>
      <c r="X118">
        <v>0.90909090909090906</v>
      </c>
      <c r="Y118">
        <v>10.327772661595553</v>
      </c>
      <c r="Z118">
        <v>0.90909090909090906</v>
      </c>
      <c r="AA118">
        <v>6.3513741699337691</v>
      </c>
      <c r="AB118">
        <v>0.90909090909090906</v>
      </c>
      <c r="AC118">
        <v>12.008933270096779</v>
      </c>
      <c r="AD118">
        <v>0.90909090909090906</v>
      </c>
      <c r="AE118">
        <v>11.006404715632549</v>
      </c>
      <c r="AF118">
        <v>0.90909090909090906</v>
      </c>
    </row>
    <row r="119" spans="23:32" x14ac:dyDescent="0.3">
      <c r="W119">
        <v>23.154618795871734</v>
      </c>
      <c r="X119">
        <v>0.91908091908091905</v>
      </c>
      <c r="Y119">
        <v>10.371683047055043</v>
      </c>
      <c r="Z119">
        <v>0.91908091908091905</v>
      </c>
      <c r="AA119">
        <v>6.441820596113808</v>
      </c>
      <c r="AB119">
        <v>0.91908091908091905</v>
      </c>
      <c r="AC119">
        <v>12.114579863548279</v>
      </c>
      <c r="AD119">
        <v>0.91908091908091905</v>
      </c>
      <c r="AE119">
        <v>11.19614876789549</v>
      </c>
      <c r="AF119">
        <v>0.91908091908091905</v>
      </c>
    </row>
    <row r="120" spans="23:32" x14ac:dyDescent="0.3">
      <c r="W120">
        <v>23.378055028319359</v>
      </c>
      <c r="X120">
        <v>0.92907092907092903</v>
      </c>
      <c r="Y120">
        <v>10.417143169968876</v>
      </c>
      <c r="Z120">
        <v>0.92907092907092903</v>
      </c>
      <c r="AA120">
        <v>6.5466203149825279</v>
      </c>
      <c r="AB120">
        <v>0.92907092907092903</v>
      </c>
      <c r="AC120">
        <v>12.226476532340049</v>
      </c>
      <c r="AD120">
        <v>0.92907092907092903</v>
      </c>
      <c r="AE120">
        <v>11.420981006344837</v>
      </c>
      <c r="AF120">
        <v>0.92907092907092903</v>
      </c>
    </row>
    <row r="121" spans="23:32" x14ac:dyDescent="0.3">
      <c r="W121">
        <v>23.612244193315505</v>
      </c>
      <c r="X121">
        <v>0.93906093906093902</v>
      </c>
      <c r="Y121">
        <v>10.467525910029323</v>
      </c>
      <c r="Z121">
        <v>0.93906093906093902</v>
      </c>
      <c r="AA121">
        <v>6.6486023376081409</v>
      </c>
      <c r="AB121">
        <v>0.93906093906093902</v>
      </c>
      <c r="AC121">
        <v>12.336288765668868</v>
      </c>
      <c r="AD121">
        <v>0.93906093906093902</v>
      </c>
      <c r="AE121">
        <v>11.644437619424068</v>
      </c>
      <c r="AF121">
        <v>0.93906093906093902</v>
      </c>
    </row>
    <row r="122" spans="23:32" x14ac:dyDescent="0.3">
      <c r="W122">
        <v>23.83916577541828</v>
      </c>
      <c r="X122">
        <v>0.949050949050949</v>
      </c>
      <c r="Y122">
        <v>10.520047181863141</v>
      </c>
      <c r="Z122">
        <v>0.949050949050949</v>
      </c>
      <c r="AA122">
        <v>6.7700903180764378</v>
      </c>
      <c r="AB122">
        <v>0.949050949050949</v>
      </c>
      <c r="AC122">
        <v>12.447910019040108</v>
      </c>
      <c r="AD122">
        <v>0.949050949050949</v>
      </c>
      <c r="AE122">
        <v>11.917292258203315</v>
      </c>
      <c r="AF122">
        <v>0.949050949050949</v>
      </c>
    </row>
    <row r="123" spans="23:32" x14ac:dyDescent="0.3">
      <c r="W123">
        <v>24.057887821197511</v>
      </c>
      <c r="X123">
        <v>0.9590409590409591</v>
      </c>
      <c r="Y123">
        <v>10.574214570380697</v>
      </c>
      <c r="Z123">
        <v>0.9590409590409591</v>
      </c>
      <c r="AA123">
        <v>6.9035812544342132</v>
      </c>
      <c r="AB123">
        <v>0.9590409590409591</v>
      </c>
      <c r="AC123">
        <v>12.559291304111481</v>
      </c>
      <c r="AD123">
        <v>0.9590409590409591</v>
      </c>
      <c r="AE123">
        <v>12.246342571203169</v>
      </c>
      <c r="AF123">
        <v>0.9590409590409591</v>
      </c>
    </row>
    <row r="124" spans="23:32" x14ac:dyDescent="0.3">
      <c r="W124">
        <v>24.288351607203484</v>
      </c>
      <c r="X124">
        <v>0.96903096903096908</v>
      </c>
      <c r="Y124">
        <v>10.638021112307348</v>
      </c>
      <c r="Z124">
        <v>0.96903096903096908</v>
      </c>
      <c r="AA124">
        <v>7.0384205817619039</v>
      </c>
      <c r="AB124">
        <v>0.96903096903096908</v>
      </c>
      <c r="AC124">
        <v>12.668891872286798</v>
      </c>
      <c r="AD124">
        <v>0.96903096903096908</v>
      </c>
      <c r="AE124">
        <v>12.616896843493459</v>
      </c>
      <c r="AF124">
        <v>0.96903096903096908</v>
      </c>
    </row>
    <row r="125" spans="23:32" x14ac:dyDescent="0.3">
      <c r="W125">
        <v>24.538230526685716</v>
      </c>
      <c r="X125">
        <v>0.97902097902097907</v>
      </c>
      <c r="Y125">
        <v>10.710473312794715</v>
      </c>
      <c r="Z125">
        <v>0.97902097902097907</v>
      </c>
      <c r="AA125">
        <v>7.2242185702136839</v>
      </c>
      <c r="AB125">
        <v>0.97902097902097907</v>
      </c>
      <c r="AC125">
        <v>12.774094742059708</v>
      </c>
      <c r="AD125">
        <v>0.97902097902097907</v>
      </c>
      <c r="AE125">
        <v>13.104699867401482</v>
      </c>
      <c r="AF125">
        <v>0.97902097902097907</v>
      </c>
    </row>
    <row r="126" spans="23:32" x14ac:dyDescent="0.3">
      <c r="W126">
        <v>24.987760774135587</v>
      </c>
      <c r="X126">
        <v>0.99900099900099903</v>
      </c>
      <c r="Y126">
        <v>10.967721009819366</v>
      </c>
      <c r="Z126">
        <v>0.99900099900099903</v>
      </c>
      <c r="AA126">
        <v>7.8306325974707924</v>
      </c>
      <c r="AB126">
        <v>0.99900099900099903</v>
      </c>
      <c r="AC126">
        <v>12.994205366134643</v>
      </c>
      <c r="AD126">
        <v>0.99900099900099903</v>
      </c>
      <c r="AE126">
        <v>17.568778460410414</v>
      </c>
      <c r="AF126">
        <v>0.99900099900099903</v>
      </c>
    </row>
    <row r="127" spans="23:32" x14ac:dyDescent="0.3">
      <c r="W127">
        <f>SUM($W$27:$W$126)</f>
        <v>1337.4842915338875</v>
      </c>
      <c r="X127">
        <f>SUM($X$27:$X$126)</f>
        <v>49.461538461538467</v>
      </c>
      <c r="Y127">
        <f>SUM($Y$27:$Y$126)</f>
        <v>855.18578699250611</v>
      </c>
      <c r="Z127">
        <f>SUM($Z$27:$Z$126)</f>
        <v>49.461538461538467</v>
      </c>
      <c r="AA127">
        <f>SUM($AA$27:$AA$126)</f>
        <v>430.62367748261801</v>
      </c>
      <c r="AB127">
        <f>SUM($AB$27:$AB$126)</f>
        <v>49.461538461538467</v>
      </c>
      <c r="AC127">
        <f>SUM($AC$27:$AC$126)</f>
        <v>744.07743983715784</v>
      </c>
      <c r="AD127">
        <f>SUM($AD$27:$AD$126)</f>
        <v>49.461538461538467</v>
      </c>
      <c r="AE127">
        <f>SUM($AE$27:$AE$126)</f>
        <v>692.21419078551924</v>
      </c>
      <c r="AF127">
        <f>SUM($AF$27:$AF$126)</f>
        <v>49.461538461538467</v>
      </c>
    </row>
  </sheetData>
  <mergeCells count="17">
    <mergeCell ref="N3:O3"/>
    <mergeCell ref="N20:O20"/>
    <mergeCell ref="N37:O37"/>
    <mergeCell ref="N54:O54"/>
    <mergeCell ref="N71:O71"/>
    <mergeCell ref="W25:AF25"/>
    <mergeCell ref="W26:X26"/>
    <mergeCell ref="Y26:Z26"/>
    <mergeCell ref="AA26:AB26"/>
    <mergeCell ref="AC26:AD26"/>
    <mergeCell ref="AE26:AF26"/>
    <mergeCell ref="W1:AF1"/>
    <mergeCell ref="W2:X2"/>
    <mergeCell ref="Y2:Z2"/>
    <mergeCell ref="AA2:AB2"/>
    <mergeCell ref="AC2:AD2"/>
    <mergeCell ref="AE2:AF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73"/>
  <sheetViews>
    <sheetView tabSelected="1" zoomScale="120" zoomScaleNormal="120" workbookViewId="0">
      <selection activeCell="K14" sqref="K14"/>
    </sheetView>
  </sheetViews>
  <sheetFormatPr defaultRowHeight="14.4" x14ac:dyDescent="0.3"/>
  <cols>
    <col min="1" max="1" width="1.6640625" customWidth="1"/>
    <col min="2" max="2" width="41.33203125" bestFit="1" customWidth="1"/>
    <col min="3" max="3" width="9.109375" bestFit="1" customWidth="1"/>
    <col min="4" max="4" width="10" bestFit="1" customWidth="1"/>
    <col min="5" max="5" width="8.44140625" bestFit="1" customWidth="1"/>
    <col min="6" max="6" width="6.88671875" bestFit="1" customWidth="1"/>
    <col min="7" max="7" width="8.109375" bestFit="1" customWidth="1"/>
    <col min="8" max="8" width="6.109375" customWidth="1"/>
    <col min="9" max="9" width="4.6640625" customWidth="1"/>
    <col min="10" max="10" width="24.44140625" bestFit="1" customWidth="1"/>
    <col min="11" max="15" width="14.5546875" customWidth="1"/>
  </cols>
  <sheetData>
    <row r="1" spans="2:15" ht="5.0999999999999996" customHeight="1" x14ac:dyDescent="0.3"/>
    <row r="2" spans="2:15" ht="15" thickBot="1" x14ac:dyDescent="0.35"/>
    <row r="3" spans="2:15" ht="24" thickBot="1" x14ac:dyDescent="0.5">
      <c r="B3" s="128" t="s">
        <v>150</v>
      </c>
      <c r="C3" s="129"/>
      <c r="D3" s="129"/>
      <c r="E3" s="129"/>
      <c r="F3" s="129"/>
      <c r="G3" s="130"/>
      <c r="H3" s="12"/>
      <c r="I3" s="12"/>
      <c r="J3" s="12"/>
      <c r="K3" s="12"/>
    </row>
    <row r="4" spans="2:15" ht="45" customHeight="1" thickBot="1" x14ac:dyDescent="0.45">
      <c r="B4" s="125" t="s">
        <v>151</v>
      </c>
      <c r="C4" s="126"/>
      <c r="D4" s="126"/>
      <c r="E4" s="126"/>
      <c r="F4" s="126"/>
      <c r="G4" s="127"/>
      <c r="H4" s="12"/>
      <c r="I4" s="12"/>
      <c r="J4" s="12"/>
      <c r="K4" s="12"/>
    </row>
    <row r="5" spans="2:15" x14ac:dyDescent="0.3">
      <c r="H5" s="12"/>
      <c r="I5" s="12"/>
      <c r="J5" s="12"/>
      <c r="K5" s="12"/>
    </row>
    <row r="6" spans="2:15" x14ac:dyDescent="0.3">
      <c r="B6" s="131" t="s">
        <v>133</v>
      </c>
      <c r="C6" s="132"/>
      <c r="D6" s="132"/>
      <c r="E6" s="132"/>
      <c r="F6" s="132"/>
      <c r="G6" s="132"/>
      <c r="H6" s="13"/>
      <c r="I6" s="12"/>
      <c r="J6" s="12"/>
      <c r="K6" s="12"/>
    </row>
    <row r="7" spans="2:15" ht="15" thickBot="1" x14ac:dyDescent="0.35">
      <c r="B7" s="55"/>
      <c r="C7" s="133">
        <v>43770</v>
      </c>
      <c r="D7" s="134"/>
      <c r="E7" s="134"/>
      <c r="F7" s="134"/>
      <c r="G7" s="134"/>
      <c r="H7" s="13"/>
      <c r="I7" s="12"/>
      <c r="J7" s="12"/>
      <c r="K7" s="12"/>
    </row>
    <row r="8" spans="2:15" x14ac:dyDescent="0.3">
      <c r="B8" s="27" t="s">
        <v>134</v>
      </c>
      <c r="C8" s="52" t="s">
        <v>142</v>
      </c>
      <c r="D8" s="52" t="s">
        <v>152</v>
      </c>
      <c r="E8" s="52" t="s">
        <v>140</v>
      </c>
      <c r="F8" s="52" t="s">
        <v>141</v>
      </c>
      <c r="G8" s="53" t="s">
        <v>0</v>
      </c>
      <c r="H8" s="12"/>
      <c r="J8" s="90" t="s">
        <v>134</v>
      </c>
      <c r="K8" s="91" t="s">
        <v>142</v>
      </c>
      <c r="L8" s="91" t="s">
        <v>152</v>
      </c>
      <c r="M8" s="91" t="s">
        <v>140</v>
      </c>
      <c r="N8" s="91" t="s">
        <v>141</v>
      </c>
      <c r="O8" s="92" t="s">
        <v>0</v>
      </c>
    </row>
    <row r="9" spans="2:15" x14ac:dyDescent="0.3">
      <c r="B9" s="27" t="s">
        <v>147</v>
      </c>
      <c r="C9" s="14">
        <v>2</v>
      </c>
      <c r="D9" s="14">
        <v>2</v>
      </c>
      <c r="E9" s="14">
        <v>2</v>
      </c>
      <c r="F9" s="14">
        <v>2</v>
      </c>
      <c r="G9" s="18">
        <v>2</v>
      </c>
      <c r="H9" s="12"/>
      <c r="J9" s="93" t="s">
        <v>176</v>
      </c>
      <c r="K9" s="94" t="s">
        <v>177</v>
      </c>
      <c r="L9" s="94" t="s">
        <v>188</v>
      </c>
      <c r="M9" s="94" t="s">
        <v>183</v>
      </c>
      <c r="N9" s="94" t="s">
        <v>177</v>
      </c>
      <c r="O9" s="95" t="s">
        <v>182</v>
      </c>
    </row>
    <row r="10" spans="2:15" x14ac:dyDescent="0.3">
      <c r="B10" s="27"/>
      <c r="C10" s="28" t="s">
        <v>1</v>
      </c>
      <c r="D10" s="28" t="s">
        <v>1</v>
      </c>
      <c r="E10" s="28" t="s">
        <v>1</v>
      </c>
      <c r="F10" s="28" t="s">
        <v>1</v>
      </c>
      <c r="G10" s="29" t="s">
        <v>1</v>
      </c>
      <c r="H10" s="12"/>
      <c r="J10" s="119" t="s">
        <v>178</v>
      </c>
      <c r="K10" s="88" t="s">
        <v>179</v>
      </c>
      <c r="L10" s="96" t="s">
        <v>191</v>
      </c>
      <c r="M10" s="88" t="s">
        <v>179</v>
      </c>
      <c r="N10" s="88" t="s">
        <v>179</v>
      </c>
      <c r="O10" s="97" t="s">
        <v>186</v>
      </c>
    </row>
    <row r="11" spans="2:15" ht="17.399999999999999" x14ac:dyDescent="0.3">
      <c r="B11" s="16" t="s">
        <v>135</v>
      </c>
      <c r="C11" s="86">
        <v>5</v>
      </c>
      <c r="D11" s="86">
        <v>10</v>
      </c>
      <c r="E11" s="86">
        <v>5</v>
      </c>
      <c r="F11" s="86">
        <v>8</v>
      </c>
      <c r="G11" s="86">
        <v>4</v>
      </c>
      <c r="H11" s="12"/>
      <c r="I11" s="12"/>
      <c r="J11" s="120"/>
      <c r="K11" s="89" t="s">
        <v>180</v>
      </c>
      <c r="L11" s="98" t="s">
        <v>189</v>
      </c>
      <c r="M11" s="98" t="s">
        <v>184</v>
      </c>
      <c r="N11" s="89" t="s">
        <v>181</v>
      </c>
      <c r="O11" s="97" t="s">
        <v>187</v>
      </c>
    </row>
    <row r="12" spans="2:15" ht="15" thickBot="1" x14ac:dyDescent="0.35">
      <c r="B12" s="16"/>
      <c r="C12" s="28" t="s">
        <v>1</v>
      </c>
      <c r="D12" s="28" t="s">
        <v>1</v>
      </c>
      <c r="E12" s="28" t="s">
        <v>1</v>
      </c>
      <c r="F12" s="28" t="s">
        <v>1</v>
      </c>
      <c r="G12" s="29" t="s">
        <v>1</v>
      </c>
      <c r="H12" s="12"/>
      <c r="I12" s="12"/>
      <c r="J12" s="121"/>
      <c r="K12" s="99"/>
      <c r="L12" s="100" t="s">
        <v>190</v>
      </c>
      <c r="M12" s="101" t="s">
        <v>185</v>
      </c>
      <c r="N12" s="102"/>
      <c r="O12" s="103"/>
    </row>
    <row r="13" spans="2:15" ht="15" thickBot="1" x14ac:dyDescent="0.35">
      <c r="B13" s="30" t="s">
        <v>148</v>
      </c>
      <c r="C13" s="31">
        <v>20</v>
      </c>
      <c r="D13" s="31">
        <v>20</v>
      </c>
      <c r="E13" s="31">
        <v>20</v>
      </c>
      <c r="F13" s="31">
        <v>20</v>
      </c>
      <c r="G13" s="32">
        <v>20</v>
      </c>
      <c r="H13" s="12"/>
      <c r="I13" s="12"/>
      <c r="J13" s="12"/>
      <c r="K13" s="12"/>
    </row>
    <row r="14" spans="2:15" ht="15" thickBot="1" x14ac:dyDescent="0.35">
      <c r="H14" s="12"/>
      <c r="I14" s="12"/>
      <c r="J14" s="12"/>
      <c r="K14" s="12"/>
    </row>
    <row r="15" spans="2:15" ht="15" thickBot="1" x14ac:dyDescent="0.35">
      <c r="B15" s="122" t="s">
        <v>132</v>
      </c>
      <c r="C15" s="123"/>
      <c r="D15" s="123"/>
      <c r="E15" s="123"/>
      <c r="F15" s="123"/>
      <c r="G15" s="124"/>
      <c r="H15" s="12"/>
      <c r="I15" s="12"/>
      <c r="J15" s="12"/>
      <c r="K15" s="12"/>
    </row>
    <row r="16" spans="2:15" x14ac:dyDescent="0.3">
      <c r="B16" s="16" t="s">
        <v>131</v>
      </c>
      <c r="C16" s="14" t="s">
        <v>142</v>
      </c>
      <c r="D16" s="14" t="s">
        <v>152</v>
      </c>
      <c r="E16" s="17"/>
      <c r="F16" s="14"/>
      <c r="G16" s="18"/>
      <c r="H16" s="12"/>
      <c r="I16" s="12"/>
      <c r="J16" s="12"/>
      <c r="K16" s="12"/>
    </row>
    <row r="17" spans="2:11" x14ac:dyDescent="0.3">
      <c r="B17" s="16">
        <v>0</v>
      </c>
      <c r="C17" s="19">
        <v>150</v>
      </c>
      <c r="D17" s="19">
        <v>250</v>
      </c>
      <c r="E17" s="17"/>
      <c r="F17" s="14"/>
      <c r="G17" s="20"/>
      <c r="H17" s="12"/>
      <c r="I17" s="12"/>
      <c r="J17" s="12"/>
      <c r="K17" s="12"/>
    </row>
    <row r="18" spans="2:11" x14ac:dyDescent="0.3">
      <c r="B18" s="16">
        <v>4</v>
      </c>
      <c r="C18" s="19">
        <v>130</v>
      </c>
      <c r="D18" s="19">
        <v>220</v>
      </c>
      <c r="E18" s="17"/>
      <c r="F18" s="14"/>
      <c r="G18" s="20"/>
      <c r="H18" s="12"/>
      <c r="I18" s="12"/>
      <c r="J18" s="12"/>
      <c r="K18" s="12"/>
    </row>
    <row r="19" spans="2:11" x14ac:dyDescent="0.3">
      <c r="B19" s="16">
        <v>8</v>
      </c>
      <c r="C19" s="19">
        <v>115</v>
      </c>
      <c r="D19" s="19">
        <v>180</v>
      </c>
      <c r="E19" s="17"/>
      <c r="F19" s="17"/>
      <c r="G19" s="21"/>
      <c r="H19" s="12"/>
      <c r="I19" s="12"/>
      <c r="J19" s="12"/>
      <c r="K19" s="12"/>
    </row>
    <row r="20" spans="2:11" ht="15" thickBot="1" x14ac:dyDescent="0.35">
      <c r="B20" s="22">
        <v>12</v>
      </c>
      <c r="C20" s="23">
        <v>110</v>
      </c>
      <c r="D20" s="23">
        <v>175</v>
      </c>
      <c r="E20" s="24"/>
      <c r="F20" s="24"/>
      <c r="G20" s="25"/>
      <c r="H20" s="12"/>
      <c r="I20" s="12"/>
      <c r="J20" s="12"/>
      <c r="K20" s="12"/>
    </row>
    <row r="21" spans="2:11" ht="15" thickBot="1" x14ac:dyDescent="0.35">
      <c r="B21" s="26"/>
      <c r="C21" s="26"/>
      <c r="D21" s="26"/>
      <c r="E21" s="26"/>
      <c r="F21" s="26"/>
      <c r="G21" s="26"/>
      <c r="H21" s="12"/>
      <c r="I21" s="12"/>
      <c r="J21" s="12"/>
      <c r="K21" s="12"/>
    </row>
    <row r="22" spans="2:11" ht="15" thickBot="1" x14ac:dyDescent="0.35">
      <c r="B22" s="122" t="s">
        <v>143</v>
      </c>
      <c r="C22" s="123"/>
      <c r="D22" s="123"/>
      <c r="E22" s="123"/>
      <c r="F22" s="123"/>
      <c r="G22" s="124"/>
      <c r="H22" s="12"/>
      <c r="I22" s="12"/>
      <c r="J22" s="12"/>
      <c r="K22" s="12"/>
    </row>
    <row r="23" spans="2:11" x14ac:dyDescent="0.3">
      <c r="B23" s="33" t="s">
        <v>136</v>
      </c>
      <c r="C23" s="34">
        <f>VLOOKUP(C11,$B$17:$D$20,2)</f>
        <v>130</v>
      </c>
      <c r="D23" s="34">
        <f>VLOOKUP(D11,$B$17:$D$20,3)</f>
        <v>180</v>
      </c>
      <c r="E23" s="34">
        <v>100</v>
      </c>
      <c r="F23" s="34">
        <v>30</v>
      </c>
      <c r="G23" s="35">
        <v>600</v>
      </c>
      <c r="H23" s="12"/>
      <c r="I23" s="12"/>
      <c r="J23" s="12"/>
      <c r="K23" s="12"/>
    </row>
    <row r="24" spans="2:11" ht="15" thickBot="1" x14ac:dyDescent="0.35">
      <c r="B24" s="22" t="s">
        <v>137</v>
      </c>
      <c r="C24" s="23">
        <f t="shared" ref="C24:G24" si="0">C11*C23</f>
        <v>650</v>
      </c>
      <c r="D24" s="23">
        <f t="shared" si="0"/>
        <v>1800</v>
      </c>
      <c r="E24" s="23">
        <f t="shared" si="0"/>
        <v>500</v>
      </c>
      <c r="F24" s="23">
        <f t="shared" si="0"/>
        <v>240</v>
      </c>
      <c r="G24" s="36">
        <f t="shared" si="0"/>
        <v>2400</v>
      </c>
      <c r="H24" s="12"/>
      <c r="I24" s="12"/>
      <c r="J24" s="12"/>
      <c r="K24" s="12"/>
    </row>
    <row r="25" spans="2:11" ht="15" thickBot="1" x14ac:dyDescent="0.35">
      <c r="B25" s="26"/>
      <c r="C25" s="26"/>
      <c r="D25" s="26"/>
      <c r="E25" s="26"/>
      <c r="F25" s="26"/>
      <c r="G25" s="26"/>
      <c r="H25" s="12"/>
      <c r="I25" s="12"/>
      <c r="J25" s="12"/>
      <c r="K25" s="12"/>
    </row>
    <row r="26" spans="2:11" ht="15" thickBot="1" x14ac:dyDescent="0.35">
      <c r="B26" s="122" t="s">
        <v>145</v>
      </c>
      <c r="C26" s="123"/>
      <c r="D26" s="123"/>
      <c r="E26" s="123"/>
      <c r="F26" s="123"/>
      <c r="G26" s="124"/>
      <c r="H26" s="12"/>
      <c r="I26" s="12"/>
      <c r="J26" s="12"/>
      <c r="K26" s="12"/>
    </row>
    <row r="27" spans="2:11" x14ac:dyDescent="0.3">
      <c r="B27" s="16" t="s">
        <v>168</v>
      </c>
      <c r="C27" s="37">
        <v>26837.5</v>
      </c>
      <c r="D27" s="37">
        <v>4987.1705998047419</v>
      </c>
      <c r="E27" s="37">
        <v>836.47799706760213</v>
      </c>
      <c r="F27" s="37">
        <v>423.25</v>
      </c>
      <c r="G27" s="38">
        <v>7990.659933528219</v>
      </c>
      <c r="H27" s="12"/>
      <c r="I27" s="12"/>
      <c r="J27" s="12"/>
      <c r="K27" s="12"/>
    </row>
    <row r="28" spans="2:11" x14ac:dyDescent="0.3">
      <c r="B28" s="16" t="s">
        <v>163</v>
      </c>
      <c r="C28" s="37">
        <v>28920</v>
      </c>
      <c r="D28" s="37">
        <v>5230.9114444123661</v>
      </c>
      <c r="E28" s="37">
        <v>936.27133503553523</v>
      </c>
      <c r="F28" s="37">
        <v>484.5</v>
      </c>
      <c r="G28" s="38">
        <v>9810.2225867902216</v>
      </c>
      <c r="H28" s="12"/>
      <c r="I28" s="12"/>
      <c r="J28" s="12"/>
      <c r="K28" s="12"/>
    </row>
    <row r="29" spans="2:11" x14ac:dyDescent="0.3">
      <c r="B29" s="16" t="s">
        <v>164</v>
      </c>
      <c r="C29" s="37">
        <v>30392.5</v>
      </c>
      <c r="D29" s="37">
        <v>5476.1367283058826</v>
      </c>
      <c r="E29" s="37">
        <v>1423.9053808132098</v>
      </c>
      <c r="F29" s="37">
        <v>537.25</v>
      </c>
      <c r="G29" s="38">
        <v>11537.090752958409</v>
      </c>
      <c r="H29" s="12"/>
      <c r="I29" s="12"/>
      <c r="J29" s="12"/>
      <c r="K29" s="12"/>
    </row>
    <row r="30" spans="2:11" x14ac:dyDescent="0.3">
      <c r="B30" s="16" t="s">
        <v>167</v>
      </c>
      <c r="C30" s="37">
        <f>C27*C$11</f>
        <v>134187.5</v>
      </c>
      <c r="D30" s="37">
        <f t="shared" ref="D30:G30" si="1">D27*D$11</f>
        <v>49871.705998047415</v>
      </c>
      <c r="E30" s="37">
        <f t="shared" si="1"/>
        <v>4182.3899853380108</v>
      </c>
      <c r="F30" s="37">
        <f t="shared" si="1"/>
        <v>3386</v>
      </c>
      <c r="G30" s="38">
        <f t="shared" si="1"/>
        <v>31962.639734112876</v>
      </c>
      <c r="H30" s="12"/>
      <c r="I30" s="12"/>
      <c r="J30" s="12"/>
      <c r="K30" s="12"/>
    </row>
    <row r="31" spans="2:11" x14ac:dyDescent="0.3">
      <c r="B31" s="16" t="s">
        <v>166</v>
      </c>
      <c r="C31" s="37">
        <f t="shared" ref="C31:G32" si="2">C28*C$11</f>
        <v>144600</v>
      </c>
      <c r="D31" s="37">
        <f>D28*D$11</f>
        <v>52309.114444123661</v>
      </c>
      <c r="E31" s="37">
        <f t="shared" si="2"/>
        <v>4681.3566751776762</v>
      </c>
      <c r="F31" s="37">
        <f t="shared" si="2"/>
        <v>3876</v>
      </c>
      <c r="G31" s="38">
        <f t="shared" si="2"/>
        <v>39240.890347160886</v>
      </c>
      <c r="H31" s="12"/>
      <c r="I31" s="12"/>
      <c r="J31" s="12"/>
      <c r="K31" s="12"/>
    </row>
    <row r="32" spans="2:11" ht="15" thickBot="1" x14ac:dyDescent="0.35">
      <c r="B32" s="22" t="s">
        <v>165</v>
      </c>
      <c r="C32" s="39">
        <f t="shared" si="2"/>
        <v>151962.5</v>
      </c>
      <c r="D32" s="39">
        <f t="shared" si="2"/>
        <v>54761.367283058826</v>
      </c>
      <c r="E32" s="39">
        <f t="shared" si="2"/>
        <v>7119.5269040660496</v>
      </c>
      <c r="F32" s="39">
        <f t="shared" si="2"/>
        <v>4298</v>
      </c>
      <c r="G32" s="40">
        <f t="shared" si="2"/>
        <v>46148.363011833637</v>
      </c>
      <c r="H32" s="12"/>
      <c r="I32" s="12"/>
      <c r="J32" s="12"/>
      <c r="K32" s="12"/>
    </row>
    <row r="33" spans="2:11" ht="15" thickBot="1" x14ac:dyDescent="0.35">
      <c r="B33" s="26"/>
      <c r="C33" s="26"/>
      <c r="D33" s="26"/>
      <c r="E33" s="41"/>
      <c r="F33" s="41"/>
      <c r="G33" s="41"/>
      <c r="H33" s="12"/>
      <c r="I33" s="12"/>
      <c r="J33" s="12"/>
      <c r="K33" s="12"/>
    </row>
    <row r="34" spans="2:11" ht="15" thickBot="1" x14ac:dyDescent="0.35">
      <c r="B34" s="122" t="s">
        <v>144</v>
      </c>
      <c r="C34" s="123"/>
      <c r="D34" s="123"/>
      <c r="E34" s="123"/>
      <c r="F34" s="123"/>
      <c r="G34" s="124"/>
      <c r="H34" s="12"/>
      <c r="I34" s="12"/>
      <c r="J34" s="12"/>
      <c r="K34" s="12"/>
    </row>
    <row r="35" spans="2:11" x14ac:dyDescent="0.3">
      <c r="B35" s="42" t="s">
        <v>153</v>
      </c>
      <c r="C35" s="43"/>
      <c r="D35" s="43"/>
      <c r="E35" s="44"/>
      <c r="F35" s="44"/>
      <c r="G35" s="45"/>
      <c r="H35" s="12"/>
      <c r="I35" s="12"/>
      <c r="J35" s="12"/>
      <c r="K35" s="12"/>
    </row>
    <row r="36" spans="2:11" x14ac:dyDescent="0.3">
      <c r="B36" s="27" t="s">
        <v>154</v>
      </c>
      <c r="C36" s="46">
        <f>C24</f>
        <v>650</v>
      </c>
      <c r="D36" s="14" t="s">
        <v>193</v>
      </c>
      <c r="E36" s="19">
        <f>F24</f>
        <v>240</v>
      </c>
      <c r="F36" s="14"/>
      <c r="G36" s="18"/>
      <c r="H36" s="12"/>
      <c r="I36" s="12"/>
      <c r="J36" s="12"/>
      <c r="K36" s="12"/>
    </row>
    <row r="37" spans="2:11" x14ac:dyDescent="0.3">
      <c r="B37" s="27"/>
      <c r="C37" s="17"/>
      <c r="D37" s="17"/>
      <c r="E37" s="17"/>
      <c r="F37" s="14"/>
      <c r="G37" s="18"/>
      <c r="H37" s="12"/>
      <c r="I37" s="12"/>
      <c r="J37" s="12"/>
      <c r="K37" s="12"/>
    </row>
    <row r="38" spans="2:11" x14ac:dyDescent="0.3">
      <c r="B38" s="47" t="s">
        <v>138</v>
      </c>
      <c r="C38" s="17"/>
      <c r="D38" s="17"/>
      <c r="E38" s="14"/>
      <c r="F38" s="14"/>
      <c r="G38" s="18"/>
      <c r="H38" s="12"/>
      <c r="I38" s="12"/>
      <c r="J38" s="12"/>
      <c r="K38" s="12"/>
    </row>
    <row r="39" spans="2:11" ht="15" thickBot="1" x14ac:dyDescent="0.35">
      <c r="B39" s="22" t="s">
        <v>137</v>
      </c>
      <c r="C39" s="23">
        <f>SUM(C24:G24)</f>
        <v>5590</v>
      </c>
      <c r="D39" s="15"/>
      <c r="E39" s="23"/>
      <c r="F39" s="15"/>
      <c r="G39" s="48"/>
      <c r="H39" s="12"/>
      <c r="I39" s="12"/>
      <c r="J39" s="12"/>
      <c r="K39" s="12"/>
    </row>
    <row r="40" spans="2:11" ht="15" thickBot="1" x14ac:dyDescent="0.35">
      <c r="B40" s="26"/>
      <c r="C40" s="26"/>
      <c r="D40" s="41"/>
      <c r="E40" s="41"/>
      <c r="F40" s="41"/>
      <c r="G40" s="49"/>
      <c r="H40" s="12"/>
      <c r="I40" s="12"/>
      <c r="J40" s="12"/>
      <c r="K40" s="12"/>
    </row>
    <row r="41" spans="2:11" ht="15" thickBot="1" x14ac:dyDescent="0.35">
      <c r="B41" s="122" t="s">
        <v>149</v>
      </c>
      <c r="C41" s="123"/>
      <c r="D41" s="12"/>
      <c r="E41" s="12"/>
      <c r="F41" s="12"/>
      <c r="G41" s="12"/>
    </row>
    <row r="42" spans="2:11" x14ac:dyDescent="0.3">
      <c r="B42" s="51" t="s">
        <v>139</v>
      </c>
      <c r="C42" s="50"/>
      <c r="D42" s="12"/>
      <c r="E42" s="12"/>
      <c r="F42" s="12"/>
      <c r="G42" s="12"/>
    </row>
    <row r="43" spans="2:11" x14ac:dyDescent="0.3">
      <c r="B43" s="16" t="s">
        <v>172</v>
      </c>
      <c r="C43" s="87"/>
      <c r="D43" s="12"/>
      <c r="E43" s="12"/>
      <c r="F43" s="12"/>
      <c r="G43" s="12"/>
    </row>
    <row r="44" spans="2:11" x14ac:dyDescent="0.3">
      <c r="B44" s="16" t="s">
        <v>174</v>
      </c>
      <c r="C44" s="87"/>
      <c r="D44" s="12"/>
      <c r="E44" s="12"/>
      <c r="F44" s="12"/>
      <c r="G44" s="12"/>
    </row>
    <row r="45" spans="2:11" ht="15" thickBot="1" x14ac:dyDescent="0.35">
      <c r="B45" s="22" t="s">
        <v>173</v>
      </c>
      <c r="C45" s="135"/>
      <c r="D45" s="12"/>
      <c r="E45" s="12"/>
      <c r="F45" s="12"/>
      <c r="G45" s="12"/>
    </row>
    <row r="46" spans="2:11" x14ac:dyDescent="0.3">
      <c r="B46" s="1"/>
      <c r="C46" s="1"/>
    </row>
    <row r="47" spans="2:11" x14ac:dyDescent="0.3">
      <c r="B47" s="1"/>
      <c r="C47" s="1"/>
      <c r="D47" s="1"/>
      <c r="E47" s="1"/>
      <c r="F47" s="1"/>
      <c r="G47" s="2"/>
    </row>
    <row r="48" spans="2:11" x14ac:dyDescent="0.3">
      <c r="B48" s="1"/>
      <c r="C48" s="1"/>
      <c r="D48" s="1"/>
      <c r="E48" s="1"/>
      <c r="F48" s="1"/>
      <c r="G48" s="2"/>
    </row>
    <row r="49" spans="2:7" x14ac:dyDescent="0.3">
      <c r="B49" s="1"/>
      <c r="C49" s="1"/>
      <c r="D49" s="1"/>
      <c r="E49" s="1"/>
      <c r="F49" s="1"/>
      <c r="G49" s="2"/>
    </row>
    <row r="50" spans="2:7" x14ac:dyDescent="0.3">
      <c r="B50" s="1"/>
      <c r="C50" s="1"/>
      <c r="D50" s="1"/>
      <c r="E50" s="1"/>
      <c r="F50" s="1"/>
      <c r="G50" s="2"/>
    </row>
    <row r="51" spans="2:7" x14ac:dyDescent="0.3">
      <c r="B51" s="1"/>
      <c r="C51" s="1"/>
      <c r="D51" s="1"/>
      <c r="E51" s="1"/>
      <c r="F51" s="1"/>
      <c r="G51" s="2"/>
    </row>
    <row r="52" spans="2:7" x14ac:dyDescent="0.3">
      <c r="B52" s="1"/>
      <c r="C52" s="1"/>
      <c r="D52" s="1"/>
      <c r="E52" s="1"/>
      <c r="F52" s="1"/>
      <c r="G52" s="2"/>
    </row>
    <row r="53" spans="2:7" x14ac:dyDescent="0.3">
      <c r="B53" s="1"/>
      <c r="C53" s="1"/>
      <c r="D53" s="1"/>
      <c r="E53" s="1"/>
      <c r="F53" s="1"/>
      <c r="G53" s="2"/>
    </row>
    <row r="54" spans="2:7" x14ac:dyDescent="0.3">
      <c r="B54" s="1"/>
      <c r="C54" s="1"/>
      <c r="D54" s="1"/>
      <c r="E54" s="1"/>
      <c r="F54" s="1"/>
      <c r="G54" s="2"/>
    </row>
    <row r="55" spans="2:7" x14ac:dyDescent="0.3">
      <c r="B55" s="1"/>
      <c r="C55" s="1"/>
      <c r="D55" s="1"/>
      <c r="E55" s="1"/>
      <c r="F55" s="1"/>
      <c r="G55" s="2"/>
    </row>
    <row r="56" spans="2:7" x14ac:dyDescent="0.3">
      <c r="B56" s="1"/>
      <c r="C56" s="1"/>
      <c r="D56" s="1"/>
      <c r="E56" s="1"/>
      <c r="F56" s="1"/>
      <c r="G56" s="2"/>
    </row>
    <row r="57" spans="2:7" x14ac:dyDescent="0.3">
      <c r="B57" s="1"/>
      <c r="C57" s="1"/>
      <c r="D57" s="1"/>
      <c r="E57" s="1"/>
      <c r="F57" s="1"/>
      <c r="G57" s="2"/>
    </row>
    <row r="58" spans="2:7" x14ac:dyDescent="0.3">
      <c r="B58" s="1"/>
      <c r="C58" s="1"/>
      <c r="D58" s="1"/>
      <c r="E58" s="1"/>
      <c r="F58" s="1"/>
      <c r="G58" s="2"/>
    </row>
    <row r="59" spans="2:7" x14ac:dyDescent="0.3">
      <c r="B59" s="1"/>
      <c r="C59" s="1"/>
      <c r="D59" s="1"/>
      <c r="E59" s="1"/>
      <c r="F59" s="1"/>
      <c r="G59" s="2"/>
    </row>
    <row r="60" spans="2:7" x14ac:dyDescent="0.3">
      <c r="B60" s="1"/>
      <c r="C60" s="1"/>
      <c r="D60" s="1"/>
      <c r="E60" s="1"/>
      <c r="F60" s="1"/>
      <c r="G60" s="2"/>
    </row>
    <row r="61" spans="2:7" x14ac:dyDescent="0.3">
      <c r="B61" s="1"/>
      <c r="C61" s="1"/>
      <c r="D61" s="1"/>
      <c r="E61" s="1"/>
      <c r="F61" s="1"/>
      <c r="G61" s="2"/>
    </row>
    <row r="62" spans="2:7" x14ac:dyDescent="0.3">
      <c r="B62" s="1"/>
      <c r="C62" s="1"/>
      <c r="D62" s="1"/>
      <c r="E62" s="1"/>
      <c r="F62" s="1"/>
      <c r="G62" s="2"/>
    </row>
    <row r="63" spans="2:7" x14ac:dyDescent="0.3">
      <c r="B63" s="1"/>
      <c r="C63" s="1"/>
      <c r="D63" s="1"/>
      <c r="E63" s="1"/>
      <c r="F63" s="1"/>
      <c r="G63" s="2"/>
    </row>
    <row r="64" spans="2:7" x14ac:dyDescent="0.3">
      <c r="B64" s="1"/>
      <c r="C64" s="1"/>
      <c r="D64" s="1"/>
      <c r="E64" s="1"/>
      <c r="F64" s="1"/>
      <c r="G64" s="2"/>
    </row>
    <row r="65" spans="2:7" x14ac:dyDescent="0.3">
      <c r="B65" s="1"/>
      <c r="C65" s="1"/>
      <c r="D65" s="1"/>
      <c r="E65" s="1"/>
      <c r="F65" s="1"/>
      <c r="G65" s="2"/>
    </row>
    <row r="66" spans="2:7" x14ac:dyDescent="0.3">
      <c r="B66" s="1"/>
      <c r="C66" s="1"/>
      <c r="D66" s="1"/>
      <c r="E66" s="1"/>
      <c r="F66" s="1"/>
      <c r="G66" s="1"/>
    </row>
    <row r="67" spans="2:7" x14ac:dyDescent="0.3">
      <c r="B67" s="1"/>
      <c r="C67" s="1"/>
      <c r="D67" s="1"/>
      <c r="E67" s="1"/>
      <c r="F67" s="1"/>
      <c r="G67" s="1"/>
    </row>
    <row r="68" spans="2:7" x14ac:dyDescent="0.3">
      <c r="B68" s="1"/>
      <c r="C68" s="1"/>
      <c r="D68" s="1"/>
      <c r="E68" s="1"/>
      <c r="F68" s="1"/>
      <c r="G68" s="1"/>
    </row>
    <row r="69" spans="2:7" x14ac:dyDescent="0.3">
      <c r="B69" s="1"/>
      <c r="C69" s="1"/>
      <c r="D69" s="1"/>
      <c r="E69" s="1"/>
      <c r="F69" s="1"/>
      <c r="G69" s="1"/>
    </row>
    <row r="70" spans="2:7" x14ac:dyDescent="0.3">
      <c r="B70" s="1"/>
      <c r="C70" s="1"/>
      <c r="D70" s="1"/>
      <c r="E70" s="1"/>
      <c r="F70" s="1"/>
      <c r="G70" s="1"/>
    </row>
    <row r="71" spans="2:7" x14ac:dyDescent="0.3">
      <c r="B71" s="1"/>
      <c r="C71" s="1"/>
      <c r="D71" s="1"/>
      <c r="E71" s="1"/>
      <c r="F71" s="1"/>
      <c r="G71" s="1"/>
    </row>
    <row r="72" spans="2:7" x14ac:dyDescent="0.3">
      <c r="B72" s="1"/>
      <c r="C72" s="1"/>
      <c r="D72" s="1"/>
      <c r="E72" s="1"/>
      <c r="F72" s="1"/>
      <c r="G72" s="1"/>
    </row>
    <row r="73" spans="2:7" x14ac:dyDescent="0.3">
      <c r="B73" s="1"/>
      <c r="C73" s="1"/>
      <c r="D73" s="1"/>
      <c r="E73" s="1"/>
      <c r="F73" s="1"/>
      <c r="G73" s="1"/>
    </row>
  </sheetData>
  <mergeCells count="10">
    <mergeCell ref="B3:G3"/>
    <mergeCell ref="B15:G15"/>
    <mergeCell ref="B22:G22"/>
    <mergeCell ref="B6:G6"/>
    <mergeCell ref="C7:G7"/>
    <mergeCell ref="J10:J12"/>
    <mergeCell ref="B41:C41"/>
    <mergeCell ref="B26:G26"/>
    <mergeCell ref="B34:G34"/>
    <mergeCell ref="B4:G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9</xdr:col>
                <xdr:colOff>0</xdr:colOff>
                <xdr:row>3</xdr:row>
                <xdr:rowOff>45720</xdr:rowOff>
              </from>
              <to>
                <xdr:col>10</xdr:col>
                <xdr:colOff>76200</xdr:colOff>
                <xdr:row>3</xdr:row>
                <xdr:rowOff>510540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"/>
  <sheetViews>
    <sheetView workbookViewId="0"/>
  </sheetViews>
  <sheetFormatPr defaultRowHeight="14.4" x14ac:dyDescent="0.3"/>
  <sheetData>
    <row r="3" spans="3:3" x14ac:dyDescent="0.3">
      <c r="C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V27"/>
  <sheetViews>
    <sheetView workbookViewId="0"/>
  </sheetViews>
  <sheetFormatPr defaultColWidth="15.6640625" defaultRowHeight="14.4" x14ac:dyDescent="0.3"/>
  <cols>
    <col min="1" max="16384" width="15.6640625" style="3"/>
  </cols>
  <sheetData>
    <row r="1" spans="1:204" x14ac:dyDescent="0.3">
      <c r="A1" s="3" t="s">
        <v>46</v>
      </c>
      <c r="B1" s="9">
        <f>Modelo!$C$45</f>
        <v>0</v>
      </c>
      <c r="C1" s="7"/>
      <c r="D1" s="7"/>
      <c r="E1" s="5"/>
      <c r="F1" s="3" t="s">
        <v>59</v>
      </c>
      <c r="I1" s="3" t="s">
        <v>39</v>
      </c>
      <c r="J1" s="5">
        <v>4</v>
      </c>
      <c r="L1" s="3" t="s">
        <v>36</v>
      </c>
      <c r="M1" s="5" t="b">
        <v>1</v>
      </c>
      <c r="O1" s="3" t="s">
        <v>83</v>
      </c>
      <c r="Y1" s="3" t="s">
        <v>85</v>
      </c>
      <c r="AA1" s="3" t="s">
        <v>123</v>
      </c>
      <c r="AD1" s="3" t="s">
        <v>113</v>
      </c>
    </row>
    <row r="2" spans="1:204" x14ac:dyDescent="0.3">
      <c r="A2" s="3" t="s">
        <v>47</v>
      </c>
      <c r="B2" s="6">
        <v>2</v>
      </c>
      <c r="C2" s="6">
        <v>0</v>
      </c>
      <c r="F2" s="3" t="s">
        <v>60</v>
      </c>
      <c r="G2" s="6" t="b">
        <v>0</v>
      </c>
      <c r="H2" s="6"/>
      <c r="I2" s="3" t="s">
        <v>30</v>
      </c>
      <c r="J2" s="5"/>
      <c r="L2" s="3" t="s">
        <v>94</v>
      </c>
      <c r="M2" s="7"/>
      <c r="O2" s="3" t="s">
        <v>32</v>
      </c>
      <c r="P2" s="5"/>
      <c r="R2" s="3" t="s">
        <v>40</v>
      </c>
      <c r="S2" s="8" t="s">
        <v>63</v>
      </c>
      <c r="U2" s="3" t="s">
        <v>44</v>
      </c>
      <c r="V2" s="5"/>
      <c r="X2" s="3" t="s">
        <v>86</v>
      </c>
      <c r="Y2" s="6">
        <v>1</v>
      </c>
      <c r="AA2" s="3" t="s">
        <v>124</v>
      </c>
      <c r="AB2" s="6">
        <v>0</v>
      </c>
      <c r="AD2" s="3" t="s">
        <v>114</v>
      </c>
      <c r="AE2" s="6" t="b">
        <v>0</v>
      </c>
    </row>
    <row r="3" spans="1:204" x14ac:dyDescent="0.3">
      <c r="A3" s="3" t="s">
        <v>51</v>
      </c>
      <c r="B3" s="6" t="b">
        <v>0</v>
      </c>
      <c r="C3" s="6">
        <v>1000</v>
      </c>
      <c r="F3" s="3" t="s">
        <v>96</v>
      </c>
      <c r="G3" s="6" t="b">
        <v>0</v>
      </c>
      <c r="H3" s="6"/>
      <c r="I3" s="3" t="s">
        <v>31</v>
      </c>
      <c r="J3" s="11">
        <v>144500</v>
      </c>
      <c r="L3" s="3" t="s">
        <v>93</v>
      </c>
      <c r="M3" s="7"/>
      <c r="N3" s="7"/>
      <c r="O3" s="3" t="s">
        <v>33</v>
      </c>
      <c r="P3" s="5"/>
      <c r="R3" s="3" t="s">
        <v>41</v>
      </c>
      <c r="S3" s="8" t="s">
        <v>130</v>
      </c>
      <c r="U3" s="3" t="s">
        <v>45</v>
      </c>
      <c r="V3" s="5"/>
      <c r="X3" s="3" t="s">
        <v>87</v>
      </c>
      <c r="Y3" s="6">
        <v>0.5</v>
      </c>
      <c r="AA3" s="3" t="s">
        <v>125</v>
      </c>
      <c r="AB3" s="5"/>
      <c r="AD3" s="3" t="s">
        <v>115</v>
      </c>
      <c r="AE3" s="6">
        <v>10000</v>
      </c>
    </row>
    <row r="4" spans="1:204" x14ac:dyDescent="0.3">
      <c r="A4" s="3" t="s">
        <v>53</v>
      </c>
      <c r="B4" s="6" t="b">
        <v>0</v>
      </c>
      <c r="C4" s="6">
        <v>5</v>
      </c>
      <c r="D4" s="6">
        <v>2</v>
      </c>
      <c r="F4" s="3" t="s">
        <v>97</v>
      </c>
      <c r="G4" s="6" t="b">
        <v>0</v>
      </c>
      <c r="H4" s="6"/>
      <c r="L4" s="3" t="s">
        <v>91</v>
      </c>
      <c r="M4" s="7"/>
      <c r="O4" s="3" t="s">
        <v>34</v>
      </c>
      <c r="P4" s="5"/>
      <c r="R4" s="3" t="s">
        <v>42</v>
      </c>
      <c r="S4" s="8" t="s">
        <v>64</v>
      </c>
      <c r="X4" s="3" t="s">
        <v>88</v>
      </c>
      <c r="Y4" s="6">
        <v>0.7</v>
      </c>
      <c r="AA4" s="3" t="s">
        <v>126</v>
      </c>
      <c r="AB4" s="5"/>
      <c r="AD4" s="3" t="s">
        <v>116</v>
      </c>
      <c r="AE4" s="6" t="b">
        <v>0</v>
      </c>
    </row>
    <row r="5" spans="1:204" x14ac:dyDescent="0.3">
      <c r="A5" s="3" t="s">
        <v>54</v>
      </c>
      <c r="B5" s="6" t="b">
        <v>1</v>
      </c>
      <c r="C5" s="6">
        <v>20000</v>
      </c>
      <c r="D5" s="6">
        <v>0.01</v>
      </c>
      <c r="E5" s="6" t="b">
        <v>1</v>
      </c>
      <c r="F5" s="3" t="s">
        <v>61</v>
      </c>
      <c r="G5" s="6" t="b">
        <v>0</v>
      </c>
      <c r="H5" s="6"/>
      <c r="L5" s="3" t="s">
        <v>92</v>
      </c>
      <c r="M5" s="7"/>
      <c r="O5" s="3" t="s">
        <v>35</v>
      </c>
      <c r="P5" s="5"/>
      <c r="R5" s="3" t="s">
        <v>43</v>
      </c>
      <c r="S5" s="8" t="s">
        <v>129</v>
      </c>
      <c r="X5" s="3" t="s">
        <v>89</v>
      </c>
      <c r="Y5" s="6" t="s">
        <v>100</v>
      </c>
      <c r="AA5" s="3" t="s">
        <v>127</v>
      </c>
      <c r="AB5" s="5"/>
      <c r="AD5" s="3" t="s">
        <v>117</v>
      </c>
      <c r="AE5" s="6">
        <v>15</v>
      </c>
    </row>
    <row r="6" spans="1:204" x14ac:dyDescent="0.3">
      <c r="A6" s="3" t="s">
        <v>52</v>
      </c>
      <c r="B6" s="6" t="b">
        <v>0</v>
      </c>
      <c r="C6" s="6"/>
      <c r="F6" s="3" t="s">
        <v>62</v>
      </c>
      <c r="G6" s="6" t="b">
        <v>0</v>
      </c>
      <c r="H6" s="6"/>
      <c r="L6" s="3" t="s">
        <v>98</v>
      </c>
      <c r="M6" s="7"/>
      <c r="N6" s="7"/>
      <c r="R6" s="3" t="s">
        <v>84</v>
      </c>
      <c r="S6" s="5"/>
      <c r="X6" s="3" t="s">
        <v>90</v>
      </c>
      <c r="Y6" s="7"/>
      <c r="AA6" s="3" t="s">
        <v>128</v>
      </c>
      <c r="AB6" s="5"/>
      <c r="AD6" s="3" t="s">
        <v>118</v>
      </c>
      <c r="AE6" s="6">
        <v>2</v>
      </c>
    </row>
    <row r="7" spans="1:204" x14ac:dyDescent="0.3">
      <c r="A7" s="3" t="s">
        <v>48</v>
      </c>
      <c r="B7" s="6">
        <v>200</v>
      </c>
      <c r="L7" s="3" t="s">
        <v>99</v>
      </c>
      <c r="M7" s="7"/>
      <c r="N7" s="7"/>
      <c r="R7" s="3" t="s">
        <v>112</v>
      </c>
      <c r="S7" s="5"/>
      <c r="AD7" s="3" t="s">
        <v>119</v>
      </c>
      <c r="AE7" s="6" t="b">
        <v>1</v>
      </c>
    </row>
    <row r="8" spans="1:204" x14ac:dyDescent="0.3">
      <c r="A8" s="3" t="s">
        <v>3</v>
      </c>
      <c r="B8" s="3" t="s">
        <v>3</v>
      </c>
      <c r="F8" s="3" t="s">
        <v>49</v>
      </c>
      <c r="G8" s="6" t="b">
        <v>1</v>
      </c>
      <c r="H8" s="6">
        <v>5</v>
      </c>
      <c r="AD8" s="3" t="s">
        <v>120</v>
      </c>
      <c r="AE8" s="6">
        <v>10000</v>
      </c>
    </row>
    <row r="9" spans="1:204" x14ac:dyDescent="0.3">
      <c r="A9" s="3" t="s">
        <v>58</v>
      </c>
      <c r="B9" s="6">
        <v>3</v>
      </c>
      <c r="F9" s="3" t="s">
        <v>55</v>
      </c>
      <c r="G9" s="6" t="b">
        <v>0</v>
      </c>
      <c r="AD9" s="3" t="s">
        <v>121</v>
      </c>
      <c r="AE9" s="6">
        <v>0.01</v>
      </c>
    </row>
    <row r="10" spans="1:204" x14ac:dyDescent="0.3">
      <c r="A10" s="3" t="s">
        <v>50</v>
      </c>
      <c r="B10" s="6" t="b">
        <v>0</v>
      </c>
      <c r="AD10" s="3" t="s">
        <v>122</v>
      </c>
      <c r="AE10" s="6" t="b">
        <v>1</v>
      </c>
    </row>
    <row r="11" spans="1:204" x14ac:dyDescent="0.3">
      <c r="A11" s="3" t="s">
        <v>95</v>
      </c>
      <c r="B11" s="6" t="b">
        <v>1</v>
      </c>
    </row>
    <row r="12" spans="1:204" x14ac:dyDescent="0.3">
      <c r="A12" s="3" t="s">
        <v>57</v>
      </c>
      <c r="B12" s="6" t="b">
        <v>0</v>
      </c>
      <c r="F12" s="3" t="s">
        <v>56</v>
      </c>
      <c r="G12" s="6">
        <v>2</v>
      </c>
    </row>
    <row r="14" spans="1:204" ht="15" thickBot="1" x14ac:dyDescent="0.35">
      <c r="A14" s="3" t="s">
        <v>37</v>
      </c>
      <c r="B14" s="5">
        <v>1</v>
      </c>
      <c r="AX14" s="3" t="s">
        <v>38</v>
      </c>
      <c r="AY14" s="5">
        <v>2</v>
      </c>
    </row>
    <row r="15" spans="1:204" s="4" customFormat="1" ht="15" thickTop="1" x14ac:dyDescent="0.3">
      <c r="A15" s="4" t="s">
        <v>80</v>
      </c>
      <c r="B15" s="4" t="s">
        <v>81</v>
      </c>
      <c r="C15" s="4" t="s">
        <v>82</v>
      </c>
      <c r="D15" s="4" t="s">
        <v>4</v>
      </c>
      <c r="E15" s="4" t="s">
        <v>5</v>
      </c>
      <c r="F15" s="4" t="s">
        <v>6</v>
      </c>
      <c r="G15" s="4" t="s">
        <v>7</v>
      </c>
      <c r="H15" s="4" t="s">
        <v>8</v>
      </c>
      <c r="I15" s="4" t="s">
        <v>9</v>
      </c>
      <c r="J15" s="4" t="s">
        <v>10</v>
      </c>
      <c r="K15" s="4" t="s">
        <v>11</v>
      </c>
      <c r="AR15" s="4" t="s">
        <v>12</v>
      </c>
      <c r="AS15" s="4" t="s">
        <v>13</v>
      </c>
      <c r="AT15" s="4" t="s">
        <v>14</v>
      </c>
      <c r="AU15" s="4" t="s">
        <v>15</v>
      </c>
      <c r="AV15" s="4" t="s">
        <v>16</v>
      </c>
      <c r="AW15" s="4" t="s">
        <v>17</v>
      </c>
      <c r="AX15" s="4" t="s">
        <v>18</v>
      </c>
      <c r="AY15" s="4" t="s">
        <v>19</v>
      </c>
      <c r="AZ15" s="4" t="s">
        <v>20</v>
      </c>
      <c r="BA15" s="4" t="s">
        <v>4</v>
      </c>
      <c r="BB15" s="4" t="s">
        <v>21</v>
      </c>
      <c r="BC15" s="4" t="s">
        <v>22</v>
      </c>
      <c r="BD15" s="4" t="s">
        <v>23</v>
      </c>
      <c r="BE15" s="4" t="s">
        <v>24</v>
      </c>
      <c r="BF15" s="4" t="s">
        <v>25</v>
      </c>
      <c r="BG15" s="4" t="s">
        <v>26</v>
      </c>
      <c r="BH15" s="4" t="s">
        <v>27</v>
      </c>
      <c r="BI15" s="4" t="s">
        <v>28</v>
      </c>
      <c r="BJ15" s="4" t="s">
        <v>29</v>
      </c>
      <c r="BK15" s="4" t="s">
        <v>101</v>
      </c>
      <c r="BL15" s="4" t="s">
        <v>102</v>
      </c>
      <c r="BM15" s="4" t="s">
        <v>103</v>
      </c>
      <c r="BN15" s="4" t="s">
        <v>104</v>
      </c>
      <c r="BO15" s="4" t="s">
        <v>105</v>
      </c>
      <c r="BP15" s="4" t="s">
        <v>106</v>
      </c>
      <c r="BQ15" s="4" t="s">
        <v>107</v>
      </c>
      <c r="BR15" s="4" t="s">
        <v>108</v>
      </c>
      <c r="BS15" s="4" t="s">
        <v>109</v>
      </c>
      <c r="BT15" s="4" t="s">
        <v>110</v>
      </c>
      <c r="BU15" s="4" t="s">
        <v>111</v>
      </c>
    </row>
    <row r="16" spans="1:204" x14ac:dyDescent="0.3">
      <c r="A16" s="3" t="s">
        <v>77</v>
      </c>
      <c r="B16" s="3">
        <v>0.5</v>
      </c>
      <c r="C16" s="3">
        <v>0.7</v>
      </c>
      <c r="D16" s="10" t="s">
        <v>69</v>
      </c>
      <c r="G16" s="3">
        <v>1</v>
      </c>
      <c r="H16" s="3" t="e">
        <f>Modelo!$C$11:$G$11</f>
        <v>#VALUE!</v>
      </c>
      <c r="I16" s="3" t="e">
        <f>Modelo!$C$9:$G$9</f>
        <v>#VALUE!</v>
      </c>
      <c r="J16" s="3" t="e">
        <f>Modelo!$C$13:$G$13</f>
        <v>#VALUE!</v>
      </c>
      <c r="K16" s="3" t="s">
        <v>78</v>
      </c>
      <c r="L16" s="3">
        <v>0</v>
      </c>
      <c r="M16" s="3" t="b">
        <v>0</v>
      </c>
      <c r="AX16" s="3">
        <v>2</v>
      </c>
      <c r="AY16" s="3">
        <v>1</v>
      </c>
      <c r="BA16" s="3" t="s">
        <v>79</v>
      </c>
      <c r="BB16" s="3">
        <v>0</v>
      </c>
      <c r="BC16" s="3">
        <v>6</v>
      </c>
      <c r="BD16" s="3">
        <f>Modelo!$C$36</f>
        <v>650</v>
      </c>
      <c r="BE16" s="3">
        <v>4</v>
      </c>
      <c r="BF16" s="3">
        <f>Modelo!$E$36</f>
        <v>240</v>
      </c>
      <c r="BG16" s="3" t="e">
        <f>100*(EXP(DEVIATION/100)-1)</f>
        <v>#NAME?</v>
      </c>
      <c r="BK16" s="3">
        <v>-1</v>
      </c>
      <c r="BM16" s="3" t="b">
        <v>0</v>
      </c>
      <c r="BN16" s="3" t="b">
        <v>0</v>
      </c>
      <c r="GV16" s="10"/>
    </row>
    <row r="17" spans="1:204" x14ac:dyDescent="0.3">
      <c r="A17" s="3" t="s">
        <v>65</v>
      </c>
      <c r="AX17" s="3">
        <v>2</v>
      </c>
      <c r="AY17" s="3">
        <v>1</v>
      </c>
      <c r="BA17" s="3" t="s">
        <v>2</v>
      </c>
      <c r="BB17" s="3">
        <v>0</v>
      </c>
      <c r="BC17" s="3">
        <v>6</v>
      </c>
      <c r="BD17" s="3">
        <f>Modelo!$C$39</f>
        <v>5590</v>
      </c>
      <c r="BE17" s="3">
        <v>2</v>
      </c>
      <c r="BF17" s="3">
        <f>Modelo!$E$39</f>
        <v>0</v>
      </c>
      <c r="BG17" s="3" t="e">
        <f>100*(EXP(DEVIATION/100)-1)</f>
        <v>#NAME?</v>
      </c>
      <c r="BK17" s="3">
        <v>-1</v>
      </c>
      <c r="BM17" s="3" t="b">
        <v>0</v>
      </c>
      <c r="BN17" s="3" t="b">
        <v>0</v>
      </c>
      <c r="GV17" s="10"/>
    </row>
    <row r="18" spans="1:204" x14ac:dyDescent="0.3">
      <c r="A18" s="3" t="s">
        <v>66</v>
      </c>
    </row>
    <row r="19" spans="1:204" x14ac:dyDescent="0.3">
      <c r="A19" s="3" t="s">
        <v>67</v>
      </c>
    </row>
    <row r="20" spans="1:204" x14ac:dyDescent="0.3">
      <c r="A20" s="3" t="s">
        <v>68</v>
      </c>
    </row>
    <row r="21" spans="1:204" x14ac:dyDescent="0.3">
      <c r="A21" s="3" t="s">
        <v>70</v>
      </c>
    </row>
    <row r="22" spans="1:204" x14ac:dyDescent="0.3">
      <c r="A22" s="3" t="s">
        <v>71</v>
      </c>
    </row>
    <row r="23" spans="1:204" x14ac:dyDescent="0.3">
      <c r="A23" s="3" t="s">
        <v>72</v>
      </c>
    </row>
    <row r="24" spans="1:204" x14ac:dyDescent="0.3">
      <c r="A24" s="3" t="s">
        <v>73</v>
      </c>
    </row>
    <row r="25" spans="1:204" x14ac:dyDescent="0.3">
      <c r="A25" s="3" t="s">
        <v>74</v>
      </c>
    </row>
    <row r="26" spans="1:204" x14ac:dyDescent="0.3">
      <c r="A26" s="3" t="s">
        <v>75</v>
      </c>
    </row>
    <row r="27" spans="1:204" x14ac:dyDescent="0.3">
      <c r="A27" s="3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PROBLEMA</vt:lpstr>
      <vt:lpstr>Output variables</vt:lpstr>
      <vt:lpstr>Input variables</vt:lpstr>
      <vt:lpstr>Modelo</vt:lpstr>
      <vt:lpstr>_PalUtilTempWorksheet</vt:lpstr>
      <vt:lpstr>ev_HiddenInfo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Suporte</cp:lastModifiedBy>
  <cp:lastPrinted>2019-01-25T23:10:42Z</cp:lastPrinted>
  <dcterms:created xsi:type="dcterms:W3CDTF">2011-09-08T17:35:54Z</dcterms:created>
  <dcterms:modified xsi:type="dcterms:W3CDTF">2020-07-07T15:05:48Z</dcterms:modified>
</cp:coreProperties>
</file>