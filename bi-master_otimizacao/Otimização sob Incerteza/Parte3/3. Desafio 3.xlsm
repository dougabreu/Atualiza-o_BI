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rges\Desktop\Novo ADI\Avaliação\"/>
    </mc:Choice>
  </mc:AlternateContent>
  <bookViews>
    <workbookView xWindow="0" yWindow="0" windowWidth="17520" windowHeight="8520"/>
  </bookViews>
  <sheets>
    <sheet name="PROBLEMA" sheetId="6" r:id="rId1"/>
    <sheet name="Modelo" sheetId="1" r:id="rId2"/>
    <sheet name="Consumo" sheetId="7" r:id="rId3"/>
    <sheet name="Encargos" sheetId="9" r:id="rId4"/>
    <sheet name="_PalUtilTempWorksheet" sheetId="5" state="hidden" r:id="rId5"/>
    <sheet name="ev_HiddenInfo" sheetId="3" state="hidden" r:id="rId6"/>
  </sheets>
  <definedNames>
    <definedName name="Pal_Workbook_GUID" hidden="1">"2ZCV84VN7EFTSA14ET1ET17A"</definedName>
    <definedName name="RiskMultipleCPUSupportEnabled" hidden="1">TRUE</definedName>
    <definedName name="solver_adj" localSheetId="1" hidden="1">Modelo!$C$11:$F$11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Modelo!$C$11:$F$11</definedName>
    <definedName name="solver_lhs2" localSheetId="1" hidden="1">Modelo!$C$11:$F$11</definedName>
    <definedName name="solver_lhs3" localSheetId="1" hidden="1">Modelo!$C$11:$F$11</definedName>
    <definedName name="solver_lhs4" localSheetId="1" hidden="1">Modelo!#REF!</definedName>
    <definedName name="solver_lhs5" localSheetId="1" hidden="1">Modelo!$C$27</definedName>
    <definedName name="solver_lhs6" localSheetId="1" hidden="1">Modelo!#REF!</definedName>
    <definedName name="solver_lhs7" localSheetId="1" hidden="1">Modelo!#REF!</definedName>
    <definedName name="solver_lhs8" localSheetId="1" hidden="1">Modelo!#REF!</definedName>
    <definedName name="solver_lhs9" localSheetId="1" hidden="1">Modelo!#REF!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Modelo!$C$31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4</definedName>
    <definedName name="solver_rel3" localSheetId="1" hidden="1">3</definedName>
    <definedName name="solver_rel4" localSheetId="1" hidden="1">3</definedName>
    <definedName name="solver_rel5" localSheetId="1" hidden="1">1</definedName>
    <definedName name="solver_rel6" localSheetId="1" hidden="1">1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Modelo!$C$13:$F$13</definedName>
    <definedName name="solver_rhs2" localSheetId="1" hidden="1">integer</definedName>
    <definedName name="solver_rhs3" localSheetId="1" hidden="1">Modelo!$C$9:$F$9</definedName>
    <definedName name="solver_rhs4" localSheetId="1" hidden="1">0</definedName>
    <definedName name="solver_rhs5" localSheetId="1" hidden="1">Modelo!$E$27</definedName>
    <definedName name="solver_rhs6" localSheetId="1" hidden="1">20</definedName>
    <definedName name="solver_rhs7" localSheetId="1" hidden="1">0</definedName>
    <definedName name="solver_rhs8" localSheetId="1" hidden="1">0</definedName>
    <definedName name="solver_rhs9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50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STWBD_StatToolsScatterplot_DisplayCorrelationCoefficient" hidden="1">"TRUE"</definedName>
    <definedName name="STWBD_StatToolsScatterplot_HasDefaultInfo" hidden="1">"TRUE"</definedName>
    <definedName name="STWBD_StatToolsScatterplot_VarSelectorDefaultDataSet" hidden="1">"DG112DE1EF"</definedName>
    <definedName name="STWBD_StatToolsScatterplot_XVariableList" hidden="1">2</definedName>
    <definedName name="STWBD_StatToolsScatterplot_XVariableList_1" hidden="1">"U_x0001_VG2D57BF831D729B26_x0001_"</definedName>
    <definedName name="STWBD_StatToolsScatterplot_XVariableList_2" hidden="1">"U_x0001_VG1E330A271EE8C447_x0001_"</definedName>
    <definedName name="STWBD_StatToolsScatterplot_YVariableList" hidden="1">1</definedName>
    <definedName name="STWBD_StatToolsScatterplot_YVariableList_1" hidden="1">"U_x0001_VGFC9F36D570F001_x0001_"</definedName>
  </definedNames>
  <calcPr calcId="152511"/>
</workbook>
</file>

<file path=xl/calcChain.xml><?xml version="1.0" encoding="utf-8"?>
<calcChain xmlns="http://schemas.openxmlformats.org/spreadsheetml/2006/main">
  <c r="D42" i="6" l="1"/>
  <c r="C42" i="6"/>
  <c r="BF17" i="3" l="1"/>
  <c r="BF16" i="3"/>
  <c r="J16" i="3"/>
  <c r="I16" i="3"/>
  <c r="H16" i="3"/>
  <c r="BG17" i="3"/>
  <c r="BG16" i="3"/>
  <c r="BD16" i="3" l="1"/>
  <c r="BD17" i="3"/>
  <c r="B1" i="3"/>
</calcChain>
</file>

<file path=xl/sharedStrings.xml><?xml version="1.0" encoding="utf-8"?>
<sst xmlns="http://schemas.openxmlformats.org/spreadsheetml/2006/main" count="229" uniqueCount="196">
  <si>
    <t>Budget</t>
  </si>
  <si>
    <t>UNUSED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</si>
  <si>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</si>
  <si>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</si>
  <si>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</si>
  <si>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</si>
  <si>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</si>
  <si>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</si>
  <si>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</si>
  <si>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</si>
  <si>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HARD CONSTRAINT DEV</t>
  </si>
  <si>
    <t>CONSTRAINT SOLVER</t>
  </si>
  <si>
    <t>ROFUNC</t>
  </si>
  <si>
    <t>RISKOPT</t>
  </si>
  <si>
    <t>SOFT CONSTRAINT DEV</t>
  </si>
  <si>
    <t>EVAL (True/False or penalty)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</si>
  <si>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</si>
  <si>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</si>
  <si>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</si>
  <si>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</si>
  <si>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</si>
  <si>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</si>
  <si>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</si>
  <si>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</si>
  <si>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</si>
  <si>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</si>
  <si>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</si>
  <si>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</si>
  <si>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Formula Conversion Cell (not used in v5)</t>
  </si>
  <si>
    <t>Number Formatting Cell (introduced in v5)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</si>
  <si>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</si>
  <si>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</si>
  <si>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</si>
  <si>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</si>
  <si>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</si>
  <si>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</si>
  <si>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</si>
  <si>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</si>
  <si>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</si>
  <si>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</si>
  <si>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</si>
  <si>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</si>
  <si>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</si>
  <si>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</si>
  <si>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</si>
  <si>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</si>
  <si>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Population Size</t>
  </si>
  <si>
    <t>Seed (Is Auto, Value)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</si>
  <si>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</si>
  <si>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</si>
  <si>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</si>
  <si>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</si>
  <si>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</si>
  <si>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</si>
  <si>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</si>
  <si>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</si>
  <si>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</si>
  <si>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</si>
  <si>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</si>
  <si>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After Storage (enabled, macro)</t>
  </si>
  <si>
    <t>Finish (enabled, macro)</t>
  </si>
  <si>
    <t>5.7.1</t>
  </si>
  <si>
    <t>4.0.0</t>
  </si>
  <si>
    <t>DEFAULT PARENT SELECTION</t>
  </si>
  <si>
    <t>DEFAULT MUTATION</t>
  </si>
  <si>
    <t>DEFAULT CROSSOVER</t>
  </si>
  <si>
    <t>DEFAULT BACKTRACK</t>
  </si>
  <si>
    <t/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</si>
  <si>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</si>
  <si>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</si>
  <si>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</si>
  <si>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</si>
  <si>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</si>
  <si>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</si>
  <si>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</si>
  <si>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</si>
  <si>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>True,False,False</t>
  </si>
  <si>
    <t>Radio, TV costs</t>
  </si>
  <si>
    <t>Method + #Operators(Legacy)</t>
  </si>
  <si>
    <t>Mutation Rate (Legacy)</t>
  </si>
  <si>
    <t>Crossover Rate (Legacy)</t>
  </si>
  <si>
    <t>Out Stats</t>
  </si>
  <si>
    <t>Genetic Algorithm - Discrete Variable Warning Shown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</si>
  <si>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</si>
  <si>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</si>
  <si>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</si>
  <si>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</si>
  <si>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</si>
  <si>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</si>
  <si>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Same Seed Each Simulation (this was used in RISKOptimizer version 5 and earlier)</t>
  </si>
  <si>
    <t>Sampling Type (this was used in RISKOptimizer version 5 and earlier)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</si>
  <si>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</si>
  <si>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</si>
  <si>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</si>
  <si>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Before Recalc (enabled, macro), starting with v6 RISKOptimizer uses corresponding @RISK macro</t>
  </si>
  <si>
    <t>After Recalc (enabled, macro), starting with v6 RISKOptimizer uses corresponding @RISK macro</t>
  </si>
  <si>
    <t>Macro Before Simulation (enabled, macro), starting with v6, this is legacy setting</t>
  </si>
  <si>
    <t>Macro After Simulation (enabled, macro), starting with v6, this is legacy setting</t>
  </si>
  <si>
    <t>1,1,1,1,1,1,1,1,1,1,1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</si>
  <si>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</si>
  <si>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</si>
  <si>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</si>
  <si>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</si>
  <si>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</si>
  <si>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</si>
  <si>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</si>
  <si>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</si>
  <si>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</si>
  <si>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</si>
  <si>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</si>
  <si>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ColorOptimizationCells Called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</si>
  <si>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</si>
  <si>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</si>
  <si>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</si>
  <si>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</si>
  <si>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</si>
  <si>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</si>
  <si>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</si>
  <si>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</si>
  <si>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</si>
  <si>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</si>
  <si>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</si>
  <si>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</si>
  <si>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</si>
  <si>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</si>
  <si>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</si>
  <si>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</si>
  <si>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7.0.1</t>
  </si>
  <si>
    <t>7.0.0</t>
  </si>
  <si>
    <t>PLANO DE PUBLICIDADE</t>
  </si>
  <si>
    <t>MEIO DE COMUNICAÇÃO</t>
  </si>
  <si>
    <t>CUSTOS</t>
  </si>
  <si>
    <t>RESTRIÇÕES</t>
  </si>
  <si>
    <t>QTD MÍNIMA</t>
  </si>
  <si>
    <t>QTD MAXIMA</t>
  </si>
  <si>
    <t>OBJETIVO</t>
  </si>
  <si>
    <t>Livros</t>
  </si>
  <si>
    <t>Eletrônicos</t>
  </si>
  <si>
    <t>Bebidas</t>
  </si>
  <si>
    <t>Comida</t>
  </si>
  <si>
    <t>Luz</t>
  </si>
  <si>
    <t>Água</t>
  </si>
  <si>
    <t>CUSTO MÉDIO POR ITEM</t>
  </si>
  <si>
    <t>RECEITA MÉDIA POR VENDA</t>
  </si>
  <si>
    <t>QUANTIDADE DE VENDAS</t>
  </si>
  <si>
    <t>Luz (Mensal)</t>
  </si>
  <si>
    <t>Água (Mensal)</t>
  </si>
  <si>
    <t>5.8</t>
  </si>
  <si>
    <t>11.4</t>
  </si>
  <si>
    <t>ITENS COM DESCONTO DE ACORDO COM A QUANTIDADE DE PEDIDOS</t>
  </si>
  <si>
    <t>Quantidade de itens</t>
  </si>
  <si>
    <t>Até 5</t>
  </si>
  <si>
    <t>Ver tabela abaixo</t>
  </si>
  <si>
    <t>De 5 a 12</t>
  </si>
  <si>
    <t>De 12 a 18</t>
  </si>
  <si>
    <t>Mais que 18</t>
  </si>
  <si>
    <t>Até 24</t>
  </si>
  <si>
    <t>De 24 a 48</t>
  </si>
  <si>
    <t>Mais que 48</t>
  </si>
  <si>
    <t>Uma empresa entrou em contato com o curso do BI Master interessada em uma consultoria que a ajudasse em alinhar as suas contas. 
A empresa é uma livraria antiga que passou a comercializar alguns eletrônicos para melhorar suas vendas. Como toda boa livraria, existe um espaço destinado a cafeteria que também mantém boa parte da receita.</t>
  </si>
  <si>
    <t>3.9</t>
  </si>
  <si>
    <t>3.3</t>
  </si>
  <si>
    <t>2.9</t>
  </si>
  <si>
    <t>6.4</t>
  </si>
  <si>
    <t>5.3</t>
  </si>
  <si>
    <t>Consumo</t>
  </si>
  <si>
    <t>Área destinada as Respostas</t>
  </si>
  <si>
    <t>1 -</t>
  </si>
  <si>
    <t>2 -</t>
  </si>
  <si>
    <t>TIPOS DE GASTOS DA LOJA</t>
  </si>
  <si>
    <t>Quantidade de faixas</t>
  </si>
  <si>
    <t>(blocos) - Histograma</t>
  </si>
  <si>
    <t>Funcionarios</t>
  </si>
  <si>
    <t>Funcionarios (Mensal)</t>
  </si>
  <si>
    <t>CUSTOS DOS PRODUTOS DE ATACADO</t>
  </si>
  <si>
    <t>Adote esses valores acima para a questão 1.</t>
  </si>
  <si>
    <t>Custo</t>
  </si>
  <si>
    <t>Parcial</t>
  </si>
  <si>
    <t>Total</t>
  </si>
  <si>
    <t>X%</t>
  </si>
  <si>
    <t>Y%</t>
  </si>
  <si>
    <t>Z%</t>
  </si>
  <si>
    <t>Faixas de valores</t>
  </si>
  <si>
    <t>Cenário Pessimista</t>
  </si>
  <si>
    <t>Encargos</t>
  </si>
  <si>
    <t>Cenário Neutro</t>
  </si>
  <si>
    <t>Cenário Otimista</t>
  </si>
  <si>
    <t>Água (Média Mensal)</t>
  </si>
  <si>
    <t>Luz (Média Mensal)</t>
  </si>
  <si>
    <t>Dicas:
1.1 - Trace o histograma de cada variável presente na aba 'Consumo' e defina as distribuições mais adequadas para cada conjunto de dados.
1.2 - A partir das distribuições identificadas, faça através do método de Monte Carlo a estimativa de custos e receitas (total e parcial) de cada um dos itens. (Importe o código em vba)
2. Defina 3 cenários através de histogramas e dados estatísticos
3. Responda a questão com base na otimização de somente um dos cenários.</t>
  </si>
  <si>
    <t>3 -</t>
  </si>
  <si>
    <t>CUSTOS E RECEITAS</t>
  </si>
  <si>
    <t>Funcionario (Unitário)</t>
  </si>
  <si>
    <t>Qtd de Funcionarios (Média Mensal)</t>
  </si>
  <si>
    <t xml:space="preserve">Deseja-se saber as seguintes questões:
1 - Qual deve ser o planejamento financeiro para o mês seguinte. Qual a estimativa (faixa) de custo? (Adote a quantidade fixa de 3 funcionários)
2 - Defina 3 cenários para otimização (Pessimista - Médio - Otimista) e encontre a melhor configuração para cada uma das variáveis.
3 - Tendo em vista que trata-se de uma livraria, ainda sim é interessante manter a livraria? - Só deve fazer sentido manter a loja vendendo livros se o lucro da venda de livros mais o da cafeteria estiver próximo do lucro com a venda de eletrônicos. (Utilize +- 15%)
</t>
  </si>
  <si>
    <r>
      <t xml:space="preserve">1 - O gasto com eletrônicos deve ser superior ao de livros
2 - O número de funcionários deve ser no mínimo 3
3 - O gasto com luz e água deve ser menor que o </t>
    </r>
    <r>
      <rPr>
        <b/>
        <sz val="24"/>
        <color theme="1"/>
        <rFont val="Calibri"/>
        <family val="2"/>
        <scheme val="minor"/>
      </rPr>
      <t>lucro</t>
    </r>
    <r>
      <rPr>
        <sz val="24"/>
        <color theme="1"/>
        <rFont val="Calibri"/>
        <family val="2"/>
        <scheme val="minor"/>
      </rPr>
      <t xml:space="preserve"> da venda de bebidas e comidas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</si>
</sst>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"/>
    <numFmt numFmtId="165" formatCode="_-[$R$-416]\ * #,##0.00_-;\-[$R$-416]\ * #,##0.00_-;_-[$R$-416]\ * &quot;-&quot;??_-;_-@_-"/>
    <numFmt numFmtId="166" formatCode="&quot;R$&quot;\ #,##0.00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8"/>
      <color rgb="FF9C0006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rgb="FF9C0006"/>
      <name val="Calibri"/>
      <family val="2"/>
      <scheme val="minor"/>
    </font>
    <font>
      <sz val="16"/>
      <color theme="5" tint="-0.499984740745262"/>
      <name val="Calibri"/>
      <family val="2"/>
      <scheme val="minor"/>
    </font>
    <font>
      <sz val="16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ourier New"/>
      <family val="3"/>
    </font>
    <font>
      <b/>
      <sz val="28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1"/>
      <name val="Tahoma"/>
      <family val="2"/>
    </font>
    <font>
      <b/>
      <sz val="18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rgb="FFC00000"/>
      <name val="Calibri"/>
      <family val="2"/>
      <scheme val="minor"/>
    </font>
    <font>
      <sz val="26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46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hair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n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3" fillId="6" borderId="2" applyNumberFormat="0" applyAlignment="0" applyProtection="0"/>
    <xf numFmtId="43" fontId="24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3" fontId="0" fillId="3" borderId="0" xfId="0" applyNumberFormat="1" applyFill="1" applyAlignment="1">
      <alignment horizontal="left"/>
    </xf>
    <xf numFmtId="0" fontId="0" fillId="0" borderId="0" xfId="0" quotePrefix="1" applyAlignment="1">
      <alignment horizontal="left"/>
    </xf>
    <xf numFmtId="3" fontId="0" fillId="2" borderId="0" xfId="0" applyNumberFormat="1" applyFill="1" applyAlignment="1">
      <alignment horizontal="left"/>
    </xf>
    <xf numFmtId="0" fontId="0" fillId="0" borderId="0" xfId="0" applyFill="1" applyBorder="1"/>
    <xf numFmtId="0" fontId="1" fillId="0" borderId="0" xfId="0" applyFont="1" applyFill="1" applyBorder="1"/>
    <xf numFmtId="0" fontId="1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0" fillId="7" borderId="0" xfId="0" applyFill="1"/>
    <xf numFmtId="0" fontId="2" fillId="5" borderId="6" xfId="1" applyBorder="1" applyAlignment="1">
      <alignment horizontal="center" vertical="center"/>
    </xf>
    <xf numFmtId="0" fontId="12" fillId="0" borderId="14" xfId="0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165" fontId="12" fillId="0" borderId="14" xfId="0" applyNumberFormat="1" applyFont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/>
    <xf numFmtId="0" fontId="9" fillId="7" borderId="0" xfId="0" applyFont="1" applyFill="1" applyBorder="1" applyAlignment="1">
      <alignment vertical="center" wrapText="1"/>
    </xf>
    <xf numFmtId="0" fontId="0" fillId="7" borderId="20" xfId="0" applyFill="1" applyBorder="1" applyAlignment="1"/>
    <xf numFmtId="0" fontId="0" fillId="7" borderId="0" xfId="0" applyFill="1" applyBorder="1" applyAlignment="1"/>
    <xf numFmtId="0" fontId="0" fillId="7" borderId="21" xfId="0" applyFill="1" applyBorder="1" applyAlignment="1"/>
    <xf numFmtId="0" fontId="10" fillId="5" borderId="22" xfId="1" applyFont="1" applyBorder="1" applyAlignment="1">
      <alignment horizontal="center"/>
    </xf>
    <xf numFmtId="0" fontId="7" fillId="7" borderId="0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/>
    </xf>
    <xf numFmtId="0" fontId="7" fillId="7" borderId="22" xfId="0" applyFont="1" applyFill="1" applyBorder="1" applyAlignment="1">
      <alignment horizontal="center"/>
    </xf>
    <xf numFmtId="0" fontId="7" fillId="7" borderId="20" xfId="0" applyFont="1" applyFill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164" fontId="12" fillId="0" borderId="28" xfId="0" applyNumberFormat="1" applyFont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3" fontId="15" fillId="4" borderId="2" xfId="2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1" fontId="16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7" fontId="15" fillId="0" borderId="0" xfId="0" applyNumberFormat="1" applyFont="1" applyAlignment="1">
      <alignment horizontal="center" vertical="center"/>
    </xf>
    <xf numFmtId="164" fontId="12" fillId="0" borderId="29" xfId="0" applyNumberFormat="1" applyFont="1" applyBorder="1" applyAlignment="1">
      <alignment horizontal="center"/>
    </xf>
    <xf numFmtId="0" fontId="13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 wrapText="1"/>
    </xf>
    <xf numFmtId="0" fontId="2" fillId="5" borderId="0" xfId="1" applyBorder="1" applyAlignment="1">
      <alignment vertical="center"/>
    </xf>
    <xf numFmtId="17" fontId="2" fillId="5" borderId="0" xfId="1" applyNumberFormat="1" applyBorder="1" applyAlignment="1">
      <alignment vertical="center"/>
    </xf>
    <xf numFmtId="166" fontId="12" fillId="0" borderId="14" xfId="0" applyNumberFormat="1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/>
    </xf>
    <xf numFmtId="165" fontId="12" fillId="7" borderId="0" xfId="0" applyNumberFormat="1" applyFont="1" applyFill="1" applyBorder="1" applyAlignment="1">
      <alignment horizontal="center"/>
    </xf>
    <xf numFmtId="0" fontId="21" fillId="7" borderId="22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2" fontId="1" fillId="0" borderId="10" xfId="0" applyNumberFormat="1" applyFont="1" applyFill="1" applyBorder="1" applyAlignment="1">
      <alignment horizontal="center" vertical="center"/>
    </xf>
    <xf numFmtId="0" fontId="21" fillId="7" borderId="31" xfId="0" applyFont="1" applyFill="1" applyBorder="1" applyAlignment="1">
      <alignment horizontal="center" vertical="center"/>
    </xf>
    <xf numFmtId="0" fontId="21" fillId="7" borderId="33" xfId="0" applyFont="1" applyFill="1" applyBorder="1" applyAlignment="1">
      <alignment horizontal="center" vertical="center"/>
    </xf>
    <xf numFmtId="0" fontId="0" fillId="7" borderId="33" xfId="0" applyFill="1" applyBorder="1"/>
    <xf numFmtId="0" fontId="0" fillId="7" borderId="34" xfId="0" applyFill="1" applyBorder="1"/>
    <xf numFmtId="0" fontId="21" fillId="7" borderId="36" xfId="0" applyFont="1" applyFill="1" applyBorder="1" applyAlignment="1">
      <alignment horizontal="center" vertical="center"/>
    </xf>
    <xf numFmtId="0" fontId="0" fillId="7" borderId="36" xfId="0" applyFill="1" applyBorder="1"/>
    <xf numFmtId="0" fontId="0" fillId="7" borderId="37" xfId="0" applyFill="1" applyBorder="1"/>
    <xf numFmtId="0" fontId="21" fillId="7" borderId="39" xfId="0" applyFont="1" applyFill="1" applyBorder="1" applyAlignment="1">
      <alignment horizontal="center" vertical="center"/>
    </xf>
    <xf numFmtId="0" fontId="0" fillId="7" borderId="39" xfId="0" applyFill="1" applyBorder="1"/>
    <xf numFmtId="0" fontId="0" fillId="7" borderId="40" xfId="0" applyFill="1" applyBorder="1"/>
    <xf numFmtId="2" fontId="0" fillId="0" borderId="0" xfId="0" applyNumberFormat="1" applyAlignment="1">
      <alignment horizontal="center" vertical="center"/>
    </xf>
    <xf numFmtId="43" fontId="0" fillId="0" borderId="0" xfId="3" applyFont="1" applyAlignment="1">
      <alignment horizontal="center" vertical="center"/>
    </xf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23" fillId="0" borderId="20" xfId="0" applyFont="1" applyBorder="1" applyAlignment="1">
      <alignment horizontal="center" vertical="center"/>
    </xf>
    <xf numFmtId="0" fontId="0" fillId="7" borderId="21" xfId="0" applyFill="1" applyBorder="1"/>
    <xf numFmtId="0" fontId="0" fillId="7" borderId="20" xfId="0" applyFill="1" applyBorder="1"/>
    <xf numFmtId="0" fontId="22" fillId="10" borderId="0" xfId="0" applyFont="1" applyFill="1" applyBorder="1" applyAlignment="1">
      <alignment horizontal="center" vertical="center"/>
    </xf>
    <xf numFmtId="0" fontId="0" fillId="7" borderId="24" xfId="0" applyFill="1" applyBorder="1"/>
    <xf numFmtId="0" fontId="0" fillId="7" borderId="25" xfId="0" applyFill="1" applyBorder="1"/>
    <xf numFmtId="0" fontId="0" fillId="7" borderId="26" xfId="0" applyFill="1" applyBorder="1"/>
    <xf numFmtId="0" fontId="23" fillId="0" borderId="17" xfId="0" applyFont="1" applyBorder="1" applyAlignment="1">
      <alignment horizontal="center" vertical="center"/>
    </xf>
    <xf numFmtId="0" fontId="19" fillId="7" borderId="20" xfId="0" applyFont="1" applyFill="1" applyBorder="1" applyAlignment="1">
      <alignment horizontal="center" vertical="center"/>
    </xf>
    <xf numFmtId="0" fontId="22" fillId="7" borderId="21" xfId="0" applyFont="1" applyFill="1" applyBorder="1" applyAlignment="1">
      <alignment horizontal="center" vertical="center"/>
    </xf>
    <xf numFmtId="0" fontId="21" fillId="7" borderId="21" xfId="0" applyFont="1" applyFill="1" applyBorder="1" applyAlignment="1">
      <alignment horizontal="center" vertical="center"/>
    </xf>
    <xf numFmtId="0" fontId="21" fillId="7" borderId="45" xfId="0" applyFont="1" applyFill="1" applyBorder="1" applyAlignment="1">
      <alignment horizontal="center" vertical="center"/>
    </xf>
    <xf numFmtId="0" fontId="21" fillId="7" borderId="42" xfId="0" applyFont="1" applyFill="1" applyBorder="1" applyAlignment="1">
      <alignment horizontal="center" vertical="center"/>
    </xf>
    <xf numFmtId="0" fontId="6" fillId="0" borderId="0" xfId="1" applyFont="1" applyFill="1" applyBorder="1" applyAlignment="1"/>
    <xf numFmtId="0" fontId="7" fillId="0" borderId="0" xfId="0" applyFont="1" applyFill="1" applyBorder="1" applyAlignment="1">
      <alignment wrapText="1"/>
    </xf>
    <xf numFmtId="0" fontId="26" fillId="7" borderId="41" xfId="0" applyFont="1" applyFill="1" applyBorder="1" applyAlignment="1">
      <alignment horizontal="center"/>
    </xf>
    <xf numFmtId="0" fontId="18" fillId="7" borderId="20" xfId="0" applyFont="1" applyFill="1" applyBorder="1" applyAlignment="1">
      <alignment horizontal="center" vertical="center" wrapText="1"/>
    </xf>
    <xf numFmtId="0" fontId="18" fillId="7" borderId="0" xfId="0" applyFont="1" applyFill="1" applyBorder="1" applyAlignment="1">
      <alignment horizontal="center" vertical="center" wrapText="1"/>
    </xf>
    <xf numFmtId="0" fontId="18" fillId="7" borderId="21" xfId="0" applyFont="1" applyFill="1" applyBorder="1" applyAlignment="1">
      <alignment horizontal="center" vertical="center" wrapText="1"/>
    </xf>
    <xf numFmtId="0" fontId="21" fillId="7" borderId="32" xfId="0" applyFont="1" applyFill="1" applyBorder="1" applyAlignment="1">
      <alignment horizontal="center" vertical="center"/>
    </xf>
    <xf numFmtId="0" fontId="21" fillId="7" borderId="35" xfId="0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3" xfId="0" applyFont="1" applyFill="1" applyBorder="1" applyAlignment="1">
      <alignment horizontal="center" vertical="center"/>
    </xf>
    <xf numFmtId="0" fontId="21" fillId="7" borderId="44" xfId="0" applyFont="1" applyFill="1" applyBorder="1" applyAlignment="1">
      <alignment horizontal="center" vertical="center"/>
    </xf>
    <xf numFmtId="0" fontId="26" fillId="7" borderId="30" xfId="0" applyFont="1" applyFill="1" applyBorder="1" applyAlignment="1">
      <alignment horizontal="center"/>
    </xf>
    <xf numFmtId="0" fontId="9" fillId="8" borderId="17" xfId="0" applyFont="1" applyFill="1" applyBorder="1" applyAlignment="1">
      <alignment horizontal="center" vertical="center" wrapText="1"/>
    </xf>
    <xf numFmtId="0" fontId="9" fillId="8" borderId="18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 wrapText="1"/>
    </xf>
    <xf numFmtId="0" fontId="9" fillId="8" borderId="2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 wrapText="1"/>
    </xf>
    <xf numFmtId="0" fontId="9" fillId="8" borderId="21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28" fillId="8" borderId="18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0" fillId="9" borderId="0" xfId="0" applyFont="1" applyFill="1" applyAlignment="1">
      <alignment horizontal="center" vertical="center"/>
    </xf>
    <xf numFmtId="0" fontId="17" fillId="11" borderId="17" xfId="0" applyFont="1" applyFill="1" applyBorder="1" applyAlignment="1">
      <alignment horizontal="center" vertical="center" wrapText="1"/>
    </xf>
    <xf numFmtId="0" fontId="9" fillId="11" borderId="18" xfId="0" applyFont="1" applyFill="1" applyBorder="1" applyAlignment="1">
      <alignment horizontal="center" vertical="center" wrapText="1"/>
    </xf>
    <xf numFmtId="0" fontId="9" fillId="11" borderId="19" xfId="0" applyFont="1" applyFill="1" applyBorder="1" applyAlignment="1">
      <alignment horizontal="center" vertical="center" wrapText="1"/>
    </xf>
    <xf numFmtId="0" fontId="9" fillId="11" borderId="20" xfId="0" applyFont="1" applyFill="1" applyBorder="1" applyAlignment="1">
      <alignment horizontal="center" vertical="center" wrapText="1"/>
    </xf>
    <xf numFmtId="0" fontId="9" fillId="11" borderId="0" xfId="0" applyFont="1" applyFill="1" applyBorder="1" applyAlignment="1">
      <alignment horizontal="center" vertical="center" wrapText="1"/>
    </xf>
    <xf numFmtId="0" fontId="9" fillId="11" borderId="21" xfId="0" applyFont="1" applyFill="1" applyBorder="1" applyAlignment="1">
      <alignment horizontal="center" vertical="center" wrapText="1"/>
    </xf>
    <xf numFmtId="0" fontId="10" fillId="5" borderId="23" xfId="1" applyFont="1" applyBorder="1" applyAlignment="1">
      <alignment horizontal="center"/>
    </xf>
    <xf numFmtId="0" fontId="10" fillId="5" borderId="15" xfId="1" applyFont="1" applyBorder="1" applyAlignment="1">
      <alignment horizontal="center"/>
    </xf>
    <xf numFmtId="0" fontId="10" fillId="5" borderId="27" xfId="1" applyFont="1" applyBorder="1" applyAlignment="1">
      <alignment horizontal="center"/>
    </xf>
    <xf numFmtId="0" fontId="10" fillId="5" borderId="16" xfId="1" applyFont="1" applyBorder="1" applyAlignment="1">
      <alignment horizontal="center"/>
    </xf>
    <xf numFmtId="164" fontId="25" fillId="4" borderId="29" xfId="0" quotePrefix="1" applyNumberFormat="1" applyFont="1" applyFill="1" applyBorder="1" applyAlignment="1">
      <alignment horizontal="center"/>
    </xf>
    <xf numFmtId="164" fontId="25" fillId="4" borderId="15" xfId="0" quotePrefix="1" applyNumberFormat="1" applyFont="1" applyFill="1" applyBorder="1" applyAlignment="1">
      <alignment horizontal="center"/>
    </xf>
    <xf numFmtId="164" fontId="25" fillId="4" borderId="27" xfId="0" quotePrefix="1" applyNumberFormat="1" applyFont="1" applyFill="1" applyBorder="1" applyAlignment="1">
      <alignment horizontal="center"/>
    </xf>
    <xf numFmtId="0" fontId="2" fillId="5" borderId="11" xfId="1" applyBorder="1" applyAlignment="1">
      <alignment horizontal="center" vertical="center"/>
    </xf>
    <xf numFmtId="0" fontId="2" fillId="5" borderId="12" xfId="1" applyBorder="1" applyAlignment="1">
      <alignment horizontal="center" vertical="center"/>
    </xf>
    <xf numFmtId="0" fontId="2" fillId="5" borderId="13" xfId="1" applyBorder="1" applyAlignment="1">
      <alignment horizontal="center" vertical="center"/>
    </xf>
    <xf numFmtId="0" fontId="2" fillId="5" borderId="6" xfId="1" applyBorder="1" applyAlignment="1">
      <alignment horizontal="center" vertical="center"/>
    </xf>
    <xf numFmtId="0" fontId="2" fillId="5" borderId="0" xfId="1" applyBorder="1" applyAlignment="1">
      <alignment horizontal="center" vertical="center"/>
    </xf>
  </cellXfs>
  <cellStyles count="4">
    <cellStyle name="Bad" xfId="1" builtinId="27"/>
    <cellStyle name="Comma" xfId="3" builtinId="3"/>
    <cellStyle name="Input" xfId="2" builtinId="20"/>
    <cellStyle name="Normal" xfId="0" builtinId="0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</xdr:row>
          <xdr:rowOff>28575</xdr:rowOff>
        </xdr:from>
        <xdr:to>
          <xdr:col>11</xdr:col>
          <xdr:colOff>457200</xdr:colOff>
          <xdr:row>7</xdr:row>
          <xdr:rowOff>28575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I155"/>
  <sheetViews>
    <sheetView tabSelected="1" topLeftCell="A7" zoomScale="53" zoomScaleNormal="53" workbookViewId="0">
      <selection activeCell="M17" sqref="M17"/>
    </sheetView>
  </sheetViews>
  <sheetFormatPr defaultRowHeight="15" x14ac:dyDescent="0.25"/>
  <cols>
    <col min="2" max="2" width="110.140625" bestFit="1" customWidth="1"/>
    <col min="3" max="4" width="72.85546875" bestFit="1" customWidth="1"/>
    <col min="5" max="5" width="56.42578125" bestFit="1" customWidth="1"/>
    <col min="6" max="6" width="32.28515625" bestFit="1" customWidth="1"/>
    <col min="7" max="8" width="32.28515625" customWidth="1"/>
    <col min="9" max="9" width="31.7109375" bestFit="1" customWidth="1"/>
  </cols>
  <sheetData>
    <row r="1" spans="1:35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</row>
    <row r="2" spans="1:35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</row>
    <row r="3" spans="1:35" ht="14.45" customHeight="1" x14ac:dyDescent="0.25">
      <c r="A3" s="50"/>
      <c r="B3" s="50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0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</row>
    <row r="4" spans="1:35" ht="14.45" customHeight="1" x14ac:dyDescent="0.25">
      <c r="A4" s="50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0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</row>
    <row r="5" spans="1:35" ht="14.45" customHeight="1" x14ac:dyDescent="0.25">
      <c r="A5" s="5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0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</row>
    <row r="6" spans="1:35" ht="14.45" customHeight="1" x14ac:dyDescent="0.25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0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</row>
    <row r="7" spans="1:35" ht="14.45" customHeight="1" x14ac:dyDescent="0.25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0"/>
      <c r="X7" s="50"/>
      <c r="Y7" s="50"/>
      <c r="Z7" s="50"/>
      <c r="AA7" s="44"/>
      <c r="AB7" s="44"/>
      <c r="AC7" s="44"/>
      <c r="AD7" s="44"/>
      <c r="AE7" s="44"/>
      <c r="AF7" s="44"/>
      <c r="AG7" s="44"/>
      <c r="AH7" s="44"/>
      <c r="AI7" s="44"/>
    </row>
    <row r="8" spans="1:35" ht="14.45" customHeight="1" x14ac:dyDescent="0.25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0"/>
      <c r="X8" s="50"/>
      <c r="Y8" s="50"/>
      <c r="Z8" s="50"/>
      <c r="AA8" s="44"/>
      <c r="AB8" s="44"/>
      <c r="AC8" s="44"/>
      <c r="AD8" s="44"/>
      <c r="AE8" s="44"/>
      <c r="AF8" s="44"/>
      <c r="AG8" s="44"/>
      <c r="AH8" s="44"/>
      <c r="AI8" s="44"/>
    </row>
    <row r="9" spans="1:35" ht="14.45" customHeight="1" x14ac:dyDescent="0.25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0"/>
      <c r="X9" s="50"/>
      <c r="Y9" s="50"/>
      <c r="Z9" s="50"/>
      <c r="AA9" s="44"/>
      <c r="AB9" s="44"/>
      <c r="AC9" s="44"/>
      <c r="AD9" s="44"/>
      <c r="AE9" s="44"/>
      <c r="AF9" s="44"/>
      <c r="AG9" s="44"/>
      <c r="AH9" s="44"/>
      <c r="AI9" s="44"/>
    </row>
    <row r="10" spans="1:35" ht="14.45" customHeight="1" thickBo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0"/>
      <c r="X10" s="50"/>
      <c r="Y10" s="50"/>
      <c r="Z10" s="50"/>
      <c r="AA10" s="44"/>
      <c r="AB10" s="44"/>
      <c r="AC10" s="44"/>
      <c r="AD10" s="44"/>
      <c r="AE10" s="44"/>
      <c r="AF10" s="44"/>
      <c r="AG10" s="44"/>
      <c r="AH10" s="44"/>
      <c r="AI10" s="44"/>
    </row>
    <row r="11" spans="1:35" ht="14.45" customHeight="1" x14ac:dyDescent="0.25">
      <c r="A11" s="44"/>
      <c r="B11" s="130" t="s">
        <v>159</v>
      </c>
      <c r="C11" s="131"/>
      <c r="D11" s="131"/>
      <c r="E11" s="131"/>
      <c r="F11" s="131"/>
      <c r="G11" s="131"/>
      <c r="H11" s="131"/>
      <c r="I11" s="132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0"/>
      <c r="X11" s="50"/>
      <c r="Y11" s="50"/>
      <c r="Z11" s="50"/>
      <c r="AA11" s="44"/>
      <c r="AB11" s="44"/>
      <c r="AC11" s="44"/>
      <c r="AD11" s="44"/>
      <c r="AE11" s="44"/>
      <c r="AF11" s="44"/>
      <c r="AG11" s="44"/>
      <c r="AH11" s="44"/>
      <c r="AI11" s="44"/>
    </row>
    <row r="12" spans="1:35" ht="14.45" customHeight="1" x14ac:dyDescent="0.25">
      <c r="A12" s="44"/>
      <c r="B12" s="133"/>
      <c r="C12" s="134"/>
      <c r="D12" s="134"/>
      <c r="E12" s="134"/>
      <c r="F12" s="134"/>
      <c r="G12" s="134"/>
      <c r="H12" s="134"/>
      <c r="I12" s="135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0"/>
      <c r="X12" s="50"/>
      <c r="Y12" s="50"/>
      <c r="Z12" s="50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4.45" customHeight="1" x14ac:dyDescent="0.25">
      <c r="A13" s="44"/>
      <c r="B13" s="133"/>
      <c r="C13" s="134"/>
      <c r="D13" s="134"/>
      <c r="E13" s="134"/>
      <c r="F13" s="134"/>
      <c r="G13" s="134"/>
      <c r="H13" s="134"/>
      <c r="I13" s="135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0"/>
      <c r="X13" s="50"/>
      <c r="Y13" s="50"/>
      <c r="Z13" s="50"/>
      <c r="AA13" s="44"/>
      <c r="AB13" s="44"/>
      <c r="AC13" s="44"/>
      <c r="AD13" s="44"/>
      <c r="AE13" s="44"/>
      <c r="AF13" s="44"/>
      <c r="AG13" s="44"/>
      <c r="AH13" s="44"/>
      <c r="AI13" s="44"/>
    </row>
    <row r="14" spans="1:35" ht="14.45" customHeight="1" x14ac:dyDescent="0.25">
      <c r="A14" s="44"/>
      <c r="B14" s="133"/>
      <c r="C14" s="134"/>
      <c r="D14" s="134"/>
      <c r="E14" s="134"/>
      <c r="F14" s="134"/>
      <c r="G14" s="134"/>
      <c r="H14" s="134"/>
      <c r="I14" s="135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0"/>
      <c r="X14" s="50"/>
      <c r="Y14" s="50"/>
      <c r="Z14" s="50"/>
      <c r="AA14" s="44"/>
      <c r="AB14" s="44"/>
      <c r="AC14" s="44"/>
      <c r="AD14" s="44"/>
      <c r="AE14" s="44"/>
      <c r="AF14" s="44"/>
      <c r="AG14" s="44"/>
      <c r="AH14" s="44"/>
      <c r="AI14" s="44"/>
    </row>
    <row r="15" spans="1:35" ht="14.45" customHeight="1" x14ac:dyDescent="0.25">
      <c r="A15" s="44"/>
      <c r="B15" s="133"/>
      <c r="C15" s="134"/>
      <c r="D15" s="134"/>
      <c r="E15" s="134"/>
      <c r="F15" s="134"/>
      <c r="G15" s="134"/>
      <c r="H15" s="134"/>
      <c r="I15" s="135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0"/>
      <c r="X15" s="50"/>
      <c r="Y15" s="50"/>
      <c r="Z15" s="50"/>
      <c r="AA15" s="44"/>
      <c r="AB15" s="44"/>
      <c r="AC15" s="44"/>
      <c r="AD15" s="44"/>
      <c r="AE15" s="44"/>
      <c r="AF15" s="44"/>
      <c r="AG15" s="44"/>
      <c r="AH15" s="44"/>
      <c r="AI15" s="44"/>
    </row>
    <row r="16" spans="1:35" ht="14.45" customHeight="1" x14ac:dyDescent="0.25">
      <c r="A16" s="44"/>
      <c r="B16" s="133"/>
      <c r="C16" s="134"/>
      <c r="D16" s="134"/>
      <c r="E16" s="134"/>
      <c r="F16" s="134"/>
      <c r="G16" s="134"/>
      <c r="H16" s="134"/>
      <c r="I16" s="135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0"/>
      <c r="X16" s="50"/>
      <c r="Y16" s="50"/>
      <c r="Z16" s="50"/>
      <c r="AA16" s="44"/>
      <c r="AB16" s="44"/>
      <c r="AC16" s="44"/>
      <c r="AD16" s="44"/>
      <c r="AE16" s="44"/>
      <c r="AF16" s="44"/>
      <c r="AG16" s="44"/>
      <c r="AH16" s="44"/>
      <c r="AI16" s="44"/>
    </row>
    <row r="17" spans="1:35" ht="14.45" customHeight="1" x14ac:dyDescent="0.25">
      <c r="A17" s="44"/>
      <c r="B17" s="133"/>
      <c r="C17" s="134"/>
      <c r="D17" s="134"/>
      <c r="E17" s="134"/>
      <c r="F17" s="134"/>
      <c r="G17" s="134"/>
      <c r="H17" s="134"/>
      <c r="I17" s="135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0"/>
      <c r="X17" s="50"/>
      <c r="Y17" s="50"/>
      <c r="Z17" s="50"/>
      <c r="AA17" s="44"/>
      <c r="AB17" s="44"/>
      <c r="AC17" s="44"/>
      <c r="AD17" s="44"/>
      <c r="AE17" s="44"/>
      <c r="AF17" s="44"/>
      <c r="AG17" s="44"/>
      <c r="AH17" s="44"/>
      <c r="AI17" s="44"/>
    </row>
    <row r="18" spans="1:35" ht="14.45" customHeight="1" x14ac:dyDescent="0.25">
      <c r="A18" s="44"/>
      <c r="B18" s="133"/>
      <c r="C18" s="134"/>
      <c r="D18" s="134"/>
      <c r="E18" s="134"/>
      <c r="F18" s="134"/>
      <c r="G18" s="134"/>
      <c r="H18" s="134"/>
      <c r="I18" s="135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0"/>
      <c r="X18" s="50"/>
      <c r="Y18" s="50"/>
      <c r="Z18" s="50"/>
      <c r="AA18" s="44"/>
      <c r="AB18" s="44"/>
      <c r="AC18" s="44"/>
      <c r="AD18" s="44"/>
      <c r="AE18" s="44"/>
      <c r="AF18" s="44"/>
      <c r="AG18" s="44"/>
      <c r="AH18" s="44"/>
      <c r="AI18" s="44"/>
    </row>
    <row r="19" spans="1:35" ht="14.45" customHeight="1" x14ac:dyDescent="0.25">
      <c r="A19" s="44"/>
      <c r="B19" s="133"/>
      <c r="C19" s="134"/>
      <c r="D19" s="134"/>
      <c r="E19" s="134"/>
      <c r="F19" s="134"/>
      <c r="G19" s="134"/>
      <c r="H19" s="134"/>
      <c r="I19" s="135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0"/>
      <c r="X19" s="50"/>
      <c r="Y19" s="50"/>
      <c r="Z19" s="50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1:35" ht="14.45" customHeight="1" x14ac:dyDescent="0.25">
      <c r="A20" s="44"/>
      <c r="B20" s="133"/>
      <c r="C20" s="134"/>
      <c r="D20" s="134"/>
      <c r="E20" s="134"/>
      <c r="F20" s="134"/>
      <c r="G20" s="134"/>
      <c r="H20" s="134"/>
      <c r="I20" s="135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0"/>
      <c r="X20" s="50"/>
      <c r="Y20" s="50"/>
      <c r="Z20" s="50"/>
      <c r="AA20" s="44"/>
      <c r="AB20" s="44"/>
      <c r="AC20" s="44"/>
      <c r="AD20" s="44"/>
      <c r="AE20" s="44"/>
      <c r="AF20" s="44"/>
      <c r="AG20" s="44"/>
      <c r="AH20" s="44"/>
      <c r="AI20" s="44"/>
    </row>
    <row r="21" spans="1:35" ht="14.45" customHeight="1" x14ac:dyDescent="0.25">
      <c r="A21" s="44"/>
      <c r="B21" s="133"/>
      <c r="C21" s="134"/>
      <c r="D21" s="134"/>
      <c r="E21" s="134"/>
      <c r="F21" s="134"/>
      <c r="G21" s="134"/>
      <c r="H21" s="134"/>
      <c r="I21" s="135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0"/>
      <c r="X21" s="50"/>
      <c r="Y21" s="50"/>
      <c r="Z21" s="50"/>
      <c r="AA21" s="44"/>
      <c r="AB21" s="44"/>
      <c r="AC21" s="44"/>
      <c r="AD21" s="44"/>
      <c r="AE21" s="44"/>
      <c r="AF21" s="44"/>
      <c r="AG21" s="44"/>
      <c r="AH21" s="44"/>
      <c r="AI21" s="44"/>
    </row>
    <row r="22" spans="1:35" ht="14.45" customHeight="1" x14ac:dyDescent="0.25">
      <c r="A22" s="44"/>
      <c r="B22" s="133"/>
      <c r="C22" s="134"/>
      <c r="D22" s="134"/>
      <c r="E22" s="134"/>
      <c r="F22" s="134"/>
      <c r="G22" s="134"/>
      <c r="H22" s="134"/>
      <c r="I22" s="135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0"/>
      <c r="X22" s="50"/>
      <c r="Y22" s="50"/>
      <c r="Z22" s="50"/>
      <c r="AA22" s="44"/>
      <c r="AB22" s="44"/>
      <c r="AC22" s="44"/>
      <c r="AD22" s="44"/>
      <c r="AE22" s="44"/>
      <c r="AF22" s="44"/>
      <c r="AG22" s="44"/>
      <c r="AH22" s="44"/>
      <c r="AI22" s="44"/>
    </row>
    <row r="23" spans="1:35" ht="14.45" customHeight="1" x14ac:dyDescent="0.25">
      <c r="A23" s="44"/>
      <c r="B23" s="133"/>
      <c r="C23" s="134"/>
      <c r="D23" s="134"/>
      <c r="E23" s="134"/>
      <c r="F23" s="134"/>
      <c r="G23" s="134"/>
      <c r="H23" s="134"/>
      <c r="I23" s="135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0"/>
      <c r="X23" s="50"/>
      <c r="Y23" s="50"/>
      <c r="Z23" s="50"/>
      <c r="AA23" s="44"/>
      <c r="AB23" s="44"/>
      <c r="AC23" s="44"/>
      <c r="AD23" s="44"/>
      <c r="AE23" s="44"/>
      <c r="AF23" s="44"/>
      <c r="AG23" s="44"/>
      <c r="AH23" s="44"/>
      <c r="AI23" s="44"/>
    </row>
    <row r="24" spans="1:35" ht="14.45" customHeight="1" x14ac:dyDescent="0.25">
      <c r="A24" s="44"/>
      <c r="B24" s="133"/>
      <c r="C24" s="134"/>
      <c r="D24" s="134"/>
      <c r="E24" s="134"/>
      <c r="F24" s="134"/>
      <c r="G24" s="134"/>
      <c r="H24" s="134"/>
      <c r="I24" s="135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0"/>
      <c r="X24" s="50"/>
      <c r="Y24" s="50"/>
      <c r="Z24" s="50"/>
      <c r="AA24" s="44"/>
      <c r="AB24" s="44"/>
      <c r="AC24" s="44"/>
      <c r="AD24" s="44"/>
      <c r="AE24" s="44"/>
      <c r="AF24" s="44"/>
      <c r="AG24" s="44"/>
      <c r="AH24" s="44"/>
      <c r="AI24" s="44"/>
    </row>
    <row r="25" spans="1:35" ht="14.45" customHeight="1" x14ac:dyDescent="0.25">
      <c r="A25" s="44"/>
      <c r="B25" s="133"/>
      <c r="C25" s="134"/>
      <c r="D25" s="134"/>
      <c r="E25" s="134"/>
      <c r="F25" s="134"/>
      <c r="G25" s="134"/>
      <c r="H25" s="134"/>
      <c r="I25" s="135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0"/>
      <c r="X25" s="50"/>
      <c r="Y25" s="50"/>
      <c r="Z25" s="50"/>
      <c r="AA25" s="44"/>
      <c r="AB25" s="44"/>
      <c r="AC25" s="44"/>
      <c r="AD25" s="44"/>
      <c r="AE25" s="44"/>
      <c r="AF25" s="44"/>
      <c r="AG25" s="44"/>
      <c r="AH25" s="44"/>
      <c r="AI25" s="44"/>
    </row>
    <row r="26" spans="1:35" x14ac:dyDescent="0.25">
      <c r="A26" s="44"/>
      <c r="B26" s="52"/>
      <c r="C26" s="53"/>
      <c r="D26" s="53"/>
      <c r="E26" s="53"/>
      <c r="F26" s="53"/>
      <c r="G26" s="53"/>
      <c r="H26" s="53"/>
      <c r="I26" s="54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44"/>
      <c r="AB26" s="44"/>
      <c r="AC26" s="44"/>
      <c r="AD26" s="44"/>
      <c r="AE26" s="44"/>
      <c r="AF26" s="44"/>
      <c r="AG26" s="44"/>
      <c r="AH26" s="44"/>
      <c r="AI26" s="44"/>
    </row>
    <row r="27" spans="1:35" ht="21" x14ac:dyDescent="0.35">
      <c r="A27" s="44"/>
      <c r="B27" s="55" t="s">
        <v>169</v>
      </c>
      <c r="C27" s="56"/>
      <c r="D27" s="71"/>
      <c r="E27" s="56"/>
      <c r="F27" s="56"/>
      <c r="G27" s="56"/>
      <c r="H27" s="56"/>
      <c r="I27" s="57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44"/>
      <c r="AB27" s="44"/>
      <c r="AC27" s="44"/>
      <c r="AD27" s="44"/>
      <c r="AE27" s="44"/>
      <c r="AF27" s="44"/>
      <c r="AG27" s="44"/>
      <c r="AH27" s="44"/>
      <c r="AI27" s="44"/>
    </row>
    <row r="28" spans="1:35" ht="21" x14ac:dyDescent="0.35">
      <c r="A28" s="44"/>
      <c r="B28" s="58" t="s">
        <v>136</v>
      </c>
      <c r="C28" s="56"/>
      <c r="D28" s="56"/>
      <c r="E28" s="56"/>
      <c r="F28" s="56"/>
      <c r="G28" s="56"/>
      <c r="H28" s="56"/>
      <c r="I28" s="57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44"/>
      <c r="AB28" s="44"/>
      <c r="AC28" s="44"/>
      <c r="AD28" s="44"/>
      <c r="AE28" s="44"/>
      <c r="AF28" s="44"/>
      <c r="AG28" s="44"/>
      <c r="AH28" s="44"/>
      <c r="AI28" s="44"/>
    </row>
    <row r="29" spans="1:35" ht="21" x14ac:dyDescent="0.35">
      <c r="A29" s="44"/>
      <c r="B29" s="58" t="s">
        <v>137</v>
      </c>
      <c r="C29" s="56"/>
      <c r="D29" s="56"/>
      <c r="E29" s="56"/>
      <c r="F29" s="56"/>
      <c r="G29" s="56"/>
      <c r="H29" s="56"/>
      <c r="I29" s="57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44"/>
      <c r="AB29" s="44"/>
      <c r="AC29" s="44"/>
      <c r="AD29" s="44"/>
      <c r="AE29" s="44"/>
      <c r="AF29" s="44"/>
      <c r="AG29" s="44"/>
      <c r="AH29" s="44"/>
      <c r="AI29" s="44"/>
    </row>
    <row r="30" spans="1:35" ht="21" x14ac:dyDescent="0.35">
      <c r="A30" s="44"/>
      <c r="B30" s="58" t="s">
        <v>138</v>
      </c>
      <c r="C30" s="56"/>
      <c r="D30" s="56"/>
      <c r="E30" s="56"/>
      <c r="F30" s="56"/>
      <c r="G30" s="56"/>
      <c r="H30" s="56"/>
      <c r="I30" s="57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44"/>
      <c r="AB30" s="44"/>
      <c r="AC30" s="44"/>
      <c r="AD30" s="44"/>
      <c r="AE30" s="44"/>
      <c r="AF30" s="44"/>
      <c r="AG30" s="44"/>
      <c r="AH30" s="44"/>
      <c r="AI30" s="44"/>
    </row>
    <row r="31" spans="1:35" ht="21" x14ac:dyDescent="0.35">
      <c r="A31" s="44"/>
      <c r="B31" s="58" t="s">
        <v>139</v>
      </c>
      <c r="C31" s="56"/>
      <c r="D31" s="56"/>
      <c r="E31" s="56"/>
      <c r="F31" s="56"/>
      <c r="G31" s="56"/>
      <c r="H31" s="56"/>
      <c r="I31" s="57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44"/>
      <c r="AB31" s="44"/>
      <c r="AC31" s="44"/>
      <c r="AD31" s="44"/>
      <c r="AE31" s="44"/>
      <c r="AF31" s="44"/>
      <c r="AG31" s="44"/>
      <c r="AH31" s="44"/>
      <c r="AI31" s="44"/>
    </row>
    <row r="32" spans="1:35" ht="21" x14ac:dyDescent="0.35">
      <c r="A32" s="44"/>
      <c r="B32" s="58" t="s">
        <v>140</v>
      </c>
      <c r="C32" s="56"/>
      <c r="D32" s="56"/>
      <c r="E32" s="56"/>
      <c r="F32" s="56"/>
      <c r="G32" s="56"/>
      <c r="H32" s="56"/>
      <c r="I32" s="57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44"/>
      <c r="AB32" s="44"/>
      <c r="AC32" s="44"/>
      <c r="AD32" s="44"/>
      <c r="AE32" s="44"/>
      <c r="AF32" s="44"/>
      <c r="AG32" s="44"/>
      <c r="AH32" s="44"/>
      <c r="AI32" s="44"/>
    </row>
    <row r="33" spans="1:35" ht="21" x14ac:dyDescent="0.35">
      <c r="A33" s="44"/>
      <c r="B33" s="58" t="s">
        <v>141</v>
      </c>
      <c r="C33" s="56"/>
      <c r="D33" s="56"/>
      <c r="E33" s="56"/>
      <c r="F33" s="56"/>
      <c r="G33" s="56"/>
      <c r="H33" s="56"/>
      <c r="I33" s="57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44"/>
      <c r="AB33" s="44"/>
      <c r="AC33" s="44"/>
      <c r="AD33" s="44"/>
      <c r="AE33" s="44"/>
      <c r="AF33" s="44"/>
      <c r="AG33" s="44"/>
      <c r="AH33" s="44"/>
      <c r="AI33" s="44"/>
    </row>
    <row r="34" spans="1:35" ht="21" x14ac:dyDescent="0.35">
      <c r="A34" s="44"/>
      <c r="B34" s="58" t="s">
        <v>172</v>
      </c>
      <c r="C34" s="56"/>
      <c r="D34" s="56"/>
      <c r="E34" s="56"/>
      <c r="F34" s="56"/>
      <c r="G34" s="56"/>
      <c r="H34" s="56"/>
      <c r="I34" s="57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44"/>
      <c r="AB34" s="44"/>
      <c r="AC34" s="44"/>
      <c r="AD34" s="44"/>
      <c r="AE34" s="44"/>
      <c r="AF34" s="44"/>
      <c r="AG34" s="44"/>
      <c r="AH34" s="44"/>
      <c r="AI34" s="44"/>
    </row>
    <row r="35" spans="1:35" ht="21" x14ac:dyDescent="0.35">
      <c r="A35" s="44"/>
      <c r="B35" s="59"/>
      <c r="C35" s="56"/>
      <c r="D35" s="56"/>
      <c r="E35" s="56"/>
      <c r="F35" s="56"/>
      <c r="G35" s="56"/>
      <c r="H35" s="56"/>
      <c r="I35" s="57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44"/>
      <c r="AB35" s="44"/>
      <c r="AC35" s="44"/>
      <c r="AD35" s="44"/>
      <c r="AE35" s="44"/>
      <c r="AF35" s="44"/>
      <c r="AG35" s="44"/>
      <c r="AH35" s="44"/>
      <c r="AI35" s="44"/>
    </row>
    <row r="36" spans="1:35" ht="21" x14ac:dyDescent="0.35">
      <c r="A36" s="44"/>
      <c r="B36" s="149" t="s">
        <v>191</v>
      </c>
      <c r="C36" s="150"/>
      <c r="D36" s="150"/>
      <c r="E36" s="150"/>
      <c r="F36" s="150"/>
      <c r="G36" s="150"/>
      <c r="H36" s="150"/>
      <c r="I36" s="151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44"/>
      <c r="AB36" s="44"/>
      <c r="AC36" s="44"/>
      <c r="AD36" s="44"/>
      <c r="AE36" s="44"/>
      <c r="AF36" s="44"/>
      <c r="AG36" s="44"/>
      <c r="AH36" s="44"/>
      <c r="AI36" s="44"/>
    </row>
    <row r="37" spans="1:35" ht="21" x14ac:dyDescent="0.35">
      <c r="A37" s="44"/>
      <c r="B37" s="60"/>
      <c r="C37" s="58" t="s">
        <v>136</v>
      </c>
      <c r="D37" s="58" t="s">
        <v>137</v>
      </c>
      <c r="E37" s="58" t="s">
        <v>138</v>
      </c>
      <c r="F37" s="58" t="s">
        <v>139</v>
      </c>
      <c r="G37" s="58" t="s">
        <v>145</v>
      </c>
      <c r="H37" s="58" t="s">
        <v>146</v>
      </c>
      <c r="I37" s="61" t="s">
        <v>192</v>
      </c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44"/>
      <c r="AB37" s="44"/>
      <c r="AC37" s="44"/>
      <c r="AD37" s="44"/>
      <c r="AE37" s="44"/>
      <c r="AF37" s="44"/>
      <c r="AG37" s="44"/>
      <c r="AH37" s="44"/>
      <c r="AI37" s="44"/>
    </row>
    <row r="38" spans="1:35" ht="21" x14ac:dyDescent="0.35">
      <c r="A38" s="44"/>
      <c r="B38" s="62" t="s">
        <v>142</v>
      </c>
      <c r="C38" s="47" t="s">
        <v>152</v>
      </c>
      <c r="D38" s="47" t="s">
        <v>152</v>
      </c>
      <c r="E38" s="47" t="s">
        <v>152</v>
      </c>
      <c r="F38" s="47" t="s">
        <v>152</v>
      </c>
      <c r="G38" s="79">
        <v>1400</v>
      </c>
      <c r="H38" s="79">
        <v>600</v>
      </c>
      <c r="I38" s="63">
        <v>1700</v>
      </c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44"/>
      <c r="AB38" s="44"/>
      <c r="AC38" s="44"/>
      <c r="AD38" s="44"/>
      <c r="AE38" s="44"/>
      <c r="AF38" s="44"/>
      <c r="AG38" s="44"/>
      <c r="AH38" s="44"/>
      <c r="AI38" s="44"/>
    </row>
    <row r="39" spans="1:35" ht="23.25" x14ac:dyDescent="0.35">
      <c r="A39" s="44"/>
      <c r="B39" s="62" t="s">
        <v>143</v>
      </c>
      <c r="C39" s="47">
        <v>92</v>
      </c>
      <c r="D39" s="47">
        <v>1700</v>
      </c>
      <c r="E39" s="47" t="s">
        <v>147</v>
      </c>
      <c r="F39" s="47" t="s">
        <v>148</v>
      </c>
      <c r="G39" s="153" t="s">
        <v>175</v>
      </c>
      <c r="H39" s="154"/>
      <c r="I39" s="155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44"/>
      <c r="AB39" s="44"/>
      <c r="AC39" s="44"/>
      <c r="AD39" s="44"/>
      <c r="AE39" s="44"/>
      <c r="AF39" s="44"/>
      <c r="AG39" s="44"/>
      <c r="AH39" s="44"/>
      <c r="AI39" s="44"/>
    </row>
    <row r="40" spans="1:35" ht="21" x14ac:dyDescent="0.35">
      <c r="A40" s="44"/>
      <c r="B40" s="59"/>
      <c r="C40" s="56"/>
      <c r="D40" s="56"/>
      <c r="E40" s="56"/>
      <c r="F40" s="56"/>
      <c r="G40" s="56"/>
      <c r="H40" s="56"/>
      <c r="I40" s="57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44"/>
      <c r="AB40" s="44"/>
      <c r="AC40" s="44"/>
      <c r="AD40" s="44"/>
      <c r="AE40" s="44"/>
      <c r="AF40" s="44"/>
      <c r="AG40" s="44"/>
      <c r="AH40" s="44"/>
      <c r="AI40" s="44"/>
    </row>
    <row r="41" spans="1:35" ht="21" x14ac:dyDescent="0.35">
      <c r="A41" s="44"/>
      <c r="B41" s="149" t="s">
        <v>149</v>
      </c>
      <c r="C41" s="150"/>
      <c r="D41" s="152"/>
      <c r="E41" s="64"/>
      <c r="F41" s="80"/>
      <c r="G41" s="80"/>
      <c r="H41" s="80"/>
      <c r="I41" s="65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44"/>
      <c r="AB41" s="44"/>
      <c r="AC41" s="44"/>
      <c r="AD41" s="44"/>
      <c r="AE41" s="44"/>
      <c r="AF41" s="44"/>
      <c r="AG41" s="44"/>
      <c r="AH41" s="44"/>
      <c r="AI41" s="44"/>
    </row>
    <row r="42" spans="1:35" ht="21" x14ac:dyDescent="0.35">
      <c r="A42" s="44"/>
      <c r="B42" s="62" t="s">
        <v>150</v>
      </c>
      <c r="C42" s="46" t="str">
        <f>B28</f>
        <v>Livros</v>
      </c>
      <c r="D42" s="46" t="str">
        <f>B29</f>
        <v>Eletrônicos</v>
      </c>
      <c r="E42" s="62" t="s">
        <v>150</v>
      </c>
      <c r="F42" s="58" t="s">
        <v>138</v>
      </c>
      <c r="G42" s="58" t="s">
        <v>139</v>
      </c>
      <c r="H42" s="80"/>
      <c r="I42" s="65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44"/>
      <c r="AB42" s="44"/>
      <c r="AC42" s="44"/>
      <c r="AD42" s="44"/>
      <c r="AE42" s="44"/>
      <c r="AF42" s="44"/>
      <c r="AG42" s="44"/>
      <c r="AH42" s="44"/>
      <c r="AI42" s="44"/>
    </row>
    <row r="43" spans="1:35" ht="21" x14ac:dyDescent="0.35">
      <c r="A43" s="44"/>
      <c r="B43" s="62" t="s">
        <v>151</v>
      </c>
      <c r="C43" s="84">
        <v>43</v>
      </c>
      <c r="D43" s="84">
        <v>432</v>
      </c>
      <c r="E43" s="62" t="s">
        <v>156</v>
      </c>
      <c r="F43" s="48" t="s">
        <v>160</v>
      </c>
      <c r="G43" s="48" t="s">
        <v>163</v>
      </c>
      <c r="H43" s="81"/>
      <c r="I43" s="7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44"/>
      <c r="AB43" s="44"/>
      <c r="AC43" s="44"/>
      <c r="AD43" s="44"/>
      <c r="AE43" s="44"/>
      <c r="AF43" s="44"/>
      <c r="AG43" s="44"/>
      <c r="AH43" s="44"/>
      <c r="AI43" s="44"/>
    </row>
    <row r="44" spans="1:35" ht="21" x14ac:dyDescent="0.35">
      <c r="A44" s="44"/>
      <c r="B44" s="62" t="s">
        <v>153</v>
      </c>
      <c r="C44" s="84">
        <v>41</v>
      </c>
      <c r="D44" s="84">
        <v>397</v>
      </c>
      <c r="E44" s="62" t="s">
        <v>157</v>
      </c>
      <c r="F44" s="48" t="s">
        <v>161</v>
      </c>
      <c r="G44" s="48" t="s">
        <v>147</v>
      </c>
      <c r="H44" s="81"/>
      <c r="I44" s="65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44"/>
      <c r="AB44" s="44"/>
      <c r="AC44" s="44"/>
      <c r="AD44" s="44"/>
      <c r="AE44" s="44"/>
      <c r="AF44" s="44"/>
      <c r="AG44" s="44"/>
      <c r="AH44" s="44"/>
      <c r="AI44" s="44"/>
    </row>
    <row r="45" spans="1:35" ht="21" x14ac:dyDescent="0.35">
      <c r="A45" s="44"/>
      <c r="B45" s="62" t="s">
        <v>154</v>
      </c>
      <c r="C45" s="84">
        <v>37</v>
      </c>
      <c r="D45" s="84">
        <v>351</v>
      </c>
      <c r="E45" s="62" t="s">
        <v>158</v>
      </c>
      <c r="F45" s="48" t="s">
        <v>162</v>
      </c>
      <c r="G45" s="48" t="s">
        <v>164</v>
      </c>
      <c r="H45" s="80"/>
      <c r="I45" s="65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44"/>
      <c r="AB45" s="44"/>
      <c r="AC45" s="44"/>
      <c r="AD45" s="44"/>
      <c r="AE45" s="44"/>
      <c r="AF45" s="44"/>
      <c r="AG45" s="44"/>
      <c r="AH45" s="44"/>
      <c r="AI45" s="44"/>
    </row>
    <row r="46" spans="1:35" ht="21" x14ac:dyDescent="0.35">
      <c r="A46" s="44"/>
      <c r="B46" s="62" t="s">
        <v>155</v>
      </c>
      <c r="C46" s="84">
        <v>32</v>
      </c>
      <c r="D46" s="84">
        <v>345</v>
      </c>
      <c r="E46" s="85"/>
      <c r="F46" s="86"/>
      <c r="G46" s="86"/>
      <c r="H46" s="64"/>
      <c r="I46" s="65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44"/>
      <c r="AB46" s="44"/>
      <c r="AC46" s="44"/>
      <c r="AD46" s="44"/>
      <c r="AE46" s="44"/>
      <c r="AF46" s="44"/>
      <c r="AG46" s="44"/>
      <c r="AH46" s="44"/>
      <c r="AI46" s="44"/>
    </row>
    <row r="47" spans="1:35" x14ac:dyDescent="0.25">
      <c r="A47" s="44"/>
      <c r="B47" s="66"/>
      <c r="C47" s="64"/>
      <c r="D47" s="64"/>
      <c r="E47" s="64"/>
      <c r="F47" s="64"/>
      <c r="G47" s="64"/>
      <c r="H47" s="64"/>
      <c r="I47" s="65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44"/>
      <c r="AB47" s="44"/>
      <c r="AC47" s="44"/>
      <c r="AD47" s="44"/>
      <c r="AE47" s="44"/>
      <c r="AF47" s="44"/>
      <c r="AG47" s="44"/>
      <c r="AH47" s="44"/>
      <c r="AI47" s="44"/>
    </row>
    <row r="48" spans="1:35" ht="31.5" customHeight="1" x14ac:dyDescent="0.25">
      <c r="A48" s="44"/>
      <c r="B48" s="121" t="s">
        <v>195</v>
      </c>
      <c r="C48" s="122"/>
      <c r="D48" s="122"/>
      <c r="E48" s="122"/>
      <c r="F48" s="122"/>
      <c r="G48" s="122"/>
      <c r="H48" s="122"/>
      <c r="I48" s="123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44"/>
      <c r="AB48" s="44"/>
      <c r="AC48" s="44"/>
      <c r="AD48" s="44"/>
      <c r="AE48" s="44"/>
      <c r="AF48" s="44"/>
      <c r="AG48" s="44"/>
      <c r="AH48" s="44"/>
      <c r="AI48" s="44"/>
    </row>
    <row r="49" spans="1:35" ht="31.5" customHeight="1" x14ac:dyDescent="0.25">
      <c r="A49" s="44"/>
      <c r="B49" s="121"/>
      <c r="C49" s="122"/>
      <c r="D49" s="122"/>
      <c r="E49" s="122"/>
      <c r="F49" s="122"/>
      <c r="G49" s="122"/>
      <c r="H49" s="122"/>
      <c r="I49" s="123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44"/>
      <c r="AB49" s="44"/>
      <c r="AC49" s="44"/>
      <c r="AD49" s="44"/>
      <c r="AE49" s="44"/>
      <c r="AF49" s="44"/>
      <c r="AG49" s="44"/>
      <c r="AH49" s="44"/>
      <c r="AI49" s="44"/>
    </row>
    <row r="50" spans="1:35" ht="15" customHeight="1" x14ac:dyDescent="0.25">
      <c r="A50" s="44"/>
      <c r="B50" s="121"/>
      <c r="C50" s="122"/>
      <c r="D50" s="122"/>
      <c r="E50" s="122"/>
      <c r="F50" s="122"/>
      <c r="G50" s="122"/>
      <c r="H50" s="122"/>
      <c r="I50" s="123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44"/>
      <c r="AB50" s="44"/>
      <c r="AC50" s="44"/>
      <c r="AD50" s="44"/>
      <c r="AE50" s="44"/>
      <c r="AF50" s="44"/>
      <c r="AG50" s="44"/>
      <c r="AH50" s="44"/>
      <c r="AI50" s="44"/>
    </row>
    <row r="51" spans="1:35" ht="15" customHeight="1" x14ac:dyDescent="0.25">
      <c r="A51" s="44"/>
      <c r="B51" s="121"/>
      <c r="C51" s="122"/>
      <c r="D51" s="122"/>
      <c r="E51" s="122"/>
      <c r="F51" s="122"/>
      <c r="G51" s="122"/>
      <c r="H51" s="122"/>
      <c r="I51" s="123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44"/>
      <c r="AB51" s="44"/>
      <c r="AC51" s="44"/>
      <c r="AD51" s="44"/>
      <c r="AE51" s="44"/>
      <c r="AF51" s="44"/>
      <c r="AG51" s="44"/>
      <c r="AH51" s="44"/>
      <c r="AI51" s="44"/>
    </row>
    <row r="52" spans="1:35" ht="15" customHeight="1" x14ac:dyDescent="0.25">
      <c r="A52" s="44"/>
      <c r="B52" s="121"/>
      <c r="C52" s="122"/>
      <c r="D52" s="122"/>
      <c r="E52" s="122"/>
      <c r="F52" s="122"/>
      <c r="G52" s="122"/>
      <c r="H52" s="122"/>
      <c r="I52" s="123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44"/>
      <c r="AB52" s="44"/>
      <c r="AC52" s="44"/>
      <c r="AD52" s="44"/>
      <c r="AE52" s="44"/>
      <c r="AF52" s="44"/>
      <c r="AG52" s="44"/>
      <c r="AH52" s="44"/>
      <c r="AI52" s="44"/>
    </row>
    <row r="53" spans="1:35" ht="15" customHeight="1" x14ac:dyDescent="0.25">
      <c r="A53" s="44"/>
      <c r="B53" s="121"/>
      <c r="C53" s="122"/>
      <c r="D53" s="122"/>
      <c r="E53" s="122"/>
      <c r="F53" s="122"/>
      <c r="G53" s="122"/>
      <c r="H53" s="122"/>
      <c r="I53" s="123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44"/>
      <c r="AB53" s="44"/>
      <c r="AC53" s="44"/>
      <c r="AD53" s="44"/>
      <c r="AE53" s="44"/>
      <c r="AF53" s="44"/>
      <c r="AG53" s="44"/>
      <c r="AH53" s="44"/>
      <c r="AI53" s="44"/>
    </row>
    <row r="54" spans="1:35" ht="15.75" thickBot="1" x14ac:dyDescent="0.3">
      <c r="A54" s="44"/>
      <c r="B54" s="67"/>
      <c r="C54" s="68"/>
      <c r="D54" s="68"/>
      <c r="E54" s="68"/>
      <c r="F54" s="68"/>
      <c r="G54" s="68"/>
      <c r="H54" s="68"/>
      <c r="I54" s="69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44"/>
      <c r="AB54" s="44"/>
      <c r="AC54" s="44"/>
      <c r="AD54" s="44"/>
      <c r="AE54" s="44"/>
      <c r="AF54" s="44"/>
      <c r="AG54" s="44"/>
      <c r="AH54" s="44"/>
      <c r="AI54" s="44"/>
    </row>
    <row r="55" spans="1:35" x14ac:dyDescent="0.25">
      <c r="A55" s="44"/>
      <c r="B55" s="49"/>
      <c r="C55" s="49"/>
      <c r="D55" s="49"/>
      <c r="E55" s="49"/>
      <c r="F55" s="49"/>
      <c r="G55" s="49"/>
      <c r="H55" s="49"/>
      <c r="I55" s="49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44"/>
      <c r="AB55" s="44"/>
      <c r="AC55" s="44"/>
      <c r="AD55" s="44"/>
      <c r="AE55" s="44"/>
      <c r="AF55" s="44"/>
      <c r="AG55" s="44"/>
      <c r="AH55" s="44"/>
      <c r="AI55" s="44"/>
    </row>
    <row r="56" spans="1:35" x14ac:dyDescent="0.25">
      <c r="A56" s="44"/>
      <c r="B56" s="49"/>
      <c r="C56" s="49"/>
      <c r="D56" s="49"/>
      <c r="E56" s="49"/>
      <c r="F56" s="49"/>
      <c r="G56" s="49"/>
      <c r="H56" s="49"/>
      <c r="I56" s="49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44"/>
      <c r="AB56" s="44"/>
      <c r="AC56" s="44"/>
      <c r="AD56" s="44"/>
      <c r="AE56" s="44"/>
      <c r="AF56" s="44"/>
      <c r="AG56" s="44"/>
      <c r="AH56" s="44"/>
      <c r="AI56" s="44"/>
    </row>
    <row r="57" spans="1:35" ht="15.75" thickBot="1" x14ac:dyDescent="0.3">
      <c r="A57" s="44"/>
      <c r="B57" s="49"/>
      <c r="C57" s="49"/>
      <c r="D57" s="49"/>
      <c r="E57" s="49"/>
      <c r="F57" s="49"/>
      <c r="G57" s="49"/>
      <c r="H57" s="49"/>
      <c r="I57" s="49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44"/>
      <c r="AB57" s="44"/>
      <c r="AC57" s="44"/>
      <c r="AD57" s="44"/>
      <c r="AE57" s="44"/>
      <c r="AF57" s="44"/>
      <c r="AG57" s="44"/>
      <c r="AH57" s="44"/>
      <c r="AI57" s="44"/>
    </row>
    <row r="58" spans="1:35" x14ac:dyDescent="0.25">
      <c r="A58" s="44"/>
      <c r="B58" s="143" t="s">
        <v>194</v>
      </c>
      <c r="C58" s="144"/>
      <c r="D58" s="144"/>
      <c r="E58" s="144"/>
      <c r="F58" s="144"/>
      <c r="G58" s="144"/>
      <c r="H58" s="144"/>
      <c r="I58" s="145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44"/>
      <c r="AB58" s="44"/>
      <c r="AC58" s="44"/>
      <c r="AD58" s="44"/>
      <c r="AE58" s="44"/>
      <c r="AF58" s="44"/>
      <c r="AG58" s="44"/>
      <c r="AH58" s="44"/>
      <c r="AI58" s="44"/>
    </row>
    <row r="59" spans="1:35" x14ac:dyDescent="0.25">
      <c r="A59" s="44"/>
      <c r="B59" s="146"/>
      <c r="C59" s="147"/>
      <c r="D59" s="147"/>
      <c r="E59" s="147"/>
      <c r="F59" s="147"/>
      <c r="G59" s="147"/>
      <c r="H59" s="147"/>
      <c r="I59" s="148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44"/>
      <c r="AB59" s="44"/>
      <c r="AC59" s="44"/>
      <c r="AD59" s="44"/>
      <c r="AE59" s="44"/>
      <c r="AF59" s="44"/>
      <c r="AG59" s="44"/>
      <c r="AH59" s="44"/>
      <c r="AI59" s="44"/>
    </row>
    <row r="60" spans="1:35" x14ac:dyDescent="0.25">
      <c r="A60" s="44"/>
      <c r="B60" s="146"/>
      <c r="C60" s="147"/>
      <c r="D60" s="147"/>
      <c r="E60" s="147"/>
      <c r="F60" s="147"/>
      <c r="G60" s="147"/>
      <c r="H60" s="147"/>
      <c r="I60" s="148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44"/>
      <c r="AB60" s="44"/>
      <c r="AC60" s="44"/>
      <c r="AD60" s="44"/>
      <c r="AE60" s="44"/>
      <c r="AF60" s="44"/>
      <c r="AG60" s="44"/>
      <c r="AH60" s="44"/>
      <c r="AI60" s="44"/>
    </row>
    <row r="61" spans="1:35" x14ac:dyDescent="0.25">
      <c r="A61" s="44"/>
      <c r="B61" s="146"/>
      <c r="C61" s="147"/>
      <c r="D61" s="147"/>
      <c r="E61" s="147"/>
      <c r="F61" s="147"/>
      <c r="G61" s="147"/>
      <c r="H61" s="147"/>
      <c r="I61" s="148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44"/>
      <c r="AB61" s="44"/>
      <c r="AC61" s="44"/>
      <c r="AD61" s="44"/>
      <c r="AE61" s="44"/>
      <c r="AF61" s="44"/>
      <c r="AG61" s="44"/>
      <c r="AH61" s="44"/>
      <c r="AI61" s="44"/>
    </row>
    <row r="62" spans="1:35" x14ac:dyDescent="0.25">
      <c r="A62" s="44"/>
      <c r="B62" s="146"/>
      <c r="C62" s="147"/>
      <c r="D62" s="147"/>
      <c r="E62" s="147"/>
      <c r="F62" s="147"/>
      <c r="G62" s="147"/>
      <c r="H62" s="147"/>
      <c r="I62" s="148"/>
      <c r="J62" s="44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44"/>
      <c r="AB62" s="44"/>
      <c r="AC62" s="44"/>
      <c r="AD62" s="44"/>
      <c r="AE62" s="44"/>
      <c r="AF62" s="44"/>
      <c r="AG62" s="44"/>
      <c r="AH62" s="44"/>
      <c r="AI62" s="44"/>
    </row>
    <row r="63" spans="1:35" x14ac:dyDescent="0.25">
      <c r="A63" s="44"/>
      <c r="B63" s="146"/>
      <c r="C63" s="147"/>
      <c r="D63" s="147"/>
      <c r="E63" s="147"/>
      <c r="F63" s="147"/>
      <c r="G63" s="147"/>
      <c r="H63" s="147"/>
      <c r="I63" s="148"/>
      <c r="J63" s="44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44"/>
      <c r="AB63" s="44"/>
      <c r="AC63" s="44"/>
      <c r="AD63" s="44"/>
      <c r="AE63" s="44"/>
      <c r="AF63" s="44"/>
      <c r="AG63" s="44"/>
      <c r="AH63" s="44"/>
      <c r="AI63" s="44"/>
    </row>
    <row r="64" spans="1:35" x14ac:dyDescent="0.25">
      <c r="A64" s="44"/>
      <c r="B64" s="146"/>
      <c r="C64" s="147"/>
      <c r="D64" s="147"/>
      <c r="E64" s="147"/>
      <c r="F64" s="147"/>
      <c r="G64" s="147"/>
      <c r="H64" s="147"/>
      <c r="I64" s="148"/>
      <c r="J64" s="44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44"/>
      <c r="AB64" s="44"/>
      <c r="AC64" s="44"/>
      <c r="AD64" s="44"/>
      <c r="AE64" s="44"/>
      <c r="AF64" s="44"/>
      <c r="AG64" s="44"/>
      <c r="AH64" s="44"/>
      <c r="AI64" s="44"/>
    </row>
    <row r="65" spans="1:35" x14ac:dyDescent="0.25">
      <c r="A65" s="44"/>
      <c r="B65" s="146"/>
      <c r="C65" s="147"/>
      <c r="D65" s="147"/>
      <c r="E65" s="147"/>
      <c r="F65" s="147"/>
      <c r="G65" s="147"/>
      <c r="H65" s="147"/>
      <c r="I65" s="148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</row>
    <row r="66" spans="1:35" x14ac:dyDescent="0.25">
      <c r="A66" s="44"/>
      <c r="B66" s="146"/>
      <c r="C66" s="147"/>
      <c r="D66" s="147"/>
      <c r="E66" s="147"/>
      <c r="F66" s="147"/>
      <c r="G66" s="147"/>
      <c r="H66" s="147"/>
      <c r="I66" s="148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</row>
    <row r="67" spans="1:35" x14ac:dyDescent="0.25">
      <c r="A67" s="44"/>
      <c r="B67" s="146"/>
      <c r="C67" s="147"/>
      <c r="D67" s="147"/>
      <c r="E67" s="147"/>
      <c r="F67" s="147"/>
      <c r="G67" s="147"/>
      <c r="H67" s="147"/>
      <c r="I67" s="148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</row>
    <row r="68" spans="1:35" x14ac:dyDescent="0.25">
      <c r="A68" s="44"/>
      <c r="B68" s="146"/>
      <c r="C68" s="147"/>
      <c r="D68" s="147"/>
      <c r="E68" s="147"/>
      <c r="F68" s="147"/>
      <c r="G68" s="147"/>
      <c r="H68" s="147"/>
      <c r="I68" s="148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</row>
    <row r="69" spans="1:35" x14ac:dyDescent="0.25">
      <c r="A69" s="44"/>
      <c r="B69" s="146"/>
      <c r="C69" s="147"/>
      <c r="D69" s="147"/>
      <c r="E69" s="147"/>
      <c r="F69" s="147"/>
      <c r="G69" s="147"/>
      <c r="H69" s="147"/>
      <c r="I69" s="148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</row>
    <row r="70" spans="1:35" x14ac:dyDescent="0.25">
      <c r="A70" s="44"/>
      <c r="B70" s="146"/>
      <c r="C70" s="147"/>
      <c r="D70" s="147"/>
      <c r="E70" s="147"/>
      <c r="F70" s="147"/>
      <c r="G70" s="147"/>
      <c r="H70" s="147"/>
      <c r="I70" s="148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</row>
    <row r="71" spans="1:35" x14ac:dyDescent="0.25">
      <c r="A71" s="44"/>
      <c r="B71" s="146"/>
      <c r="C71" s="147"/>
      <c r="D71" s="147"/>
      <c r="E71" s="147"/>
      <c r="F71" s="147"/>
      <c r="G71" s="147"/>
      <c r="H71" s="147"/>
      <c r="I71" s="148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</row>
    <row r="72" spans="1:35" ht="15.75" thickBot="1" x14ac:dyDescent="0.3">
      <c r="A72" s="44"/>
      <c r="B72" s="146"/>
      <c r="C72" s="147"/>
      <c r="D72" s="147"/>
      <c r="E72" s="147"/>
      <c r="F72" s="147"/>
      <c r="G72" s="147"/>
      <c r="H72" s="147"/>
      <c r="I72" s="148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</row>
    <row r="73" spans="1:35" x14ac:dyDescent="0.25">
      <c r="A73" s="44"/>
      <c r="B73" s="136" t="s">
        <v>189</v>
      </c>
      <c r="C73" s="137"/>
      <c r="D73" s="137"/>
      <c r="E73" s="137"/>
      <c r="F73" s="137"/>
      <c r="G73" s="137"/>
      <c r="H73" s="137"/>
      <c r="I73" s="138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</row>
    <row r="74" spans="1:35" x14ac:dyDescent="0.25">
      <c r="A74" s="44"/>
      <c r="B74" s="139"/>
      <c r="C74" s="140"/>
      <c r="D74" s="140"/>
      <c r="E74" s="140"/>
      <c r="F74" s="140"/>
      <c r="G74" s="140"/>
      <c r="H74" s="140"/>
      <c r="I74" s="141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</row>
    <row r="75" spans="1:35" x14ac:dyDescent="0.25">
      <c r="A75" s="44"/>
      <c r="B75" s="139"/>
      <c r="C75" s="140"/>
      <c r="D75" s="140"/>
      <c r="E75" s="140"/>
      <c r="F75" s="140"/>
      <c r="G75" s="140"/>
      <c r="H75" s="140"/>
      <c r="I75" s="141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</row>
    <row r="76" spans="1:35" x14ac:dyDescent="0.25">
      <c r="A76" s="44"/>
      <c r="B76" s="139"/>
      <c r="C76" s="140"/>
      <c r="D76" s="140"/>
      <c r="E76" s="140"/>
      <c r="F76" s="140"/>
      <c r="G76" s="140"/>
      <c r="H76" s="140"/>
      <c r="I76" s="141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</row>
    <row r="77" spans="1:35" x14ac:dyDescent="0.25">
      <c r="A77" s="44"/>
      <c r="B77" s="139"/>
      <c r="C77" s="140"/>
      <c r="D77" s="140"/>
      <c r="E77" s="140"/>
      <c r="F77" s="140"/>
      <c r="G77" s="140"/>
      <c r="H77" s="140"/>
      <c r="I77" s="141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</row>
    <row r="78" spans="1:35" x14ac:dyDescent="0.25">
      <c r="A78" s="44"/>
      <c r="B78" s="139"/>
      <c r="C78" s="140"/>
      <c r="D78" s="140"/>
      <c r="E78" s="140"/>
      <c r="F78" s="140"/>
      <c r="G78" s="140"/>
      <c r="H78" s="140"/>
      <c r="I78" s="141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</row>
    <row r="79" spans="1:35" x14ac:dyDescent="0.25">
      <c r="A79" s="44"/>
      <c r="B79" s="139"/>
      <c r="C79" s="140"/>
      <c r="D79" s="140"/>
      <c r="E79" s="140"/>
      <c r="F79" s="140"/>
      <c r="G79" s="140"/>
      <c r="H79" s="140"/>
      <c r="I79" s="141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</row>
    <row r="80" spans="1:35" x14ac:dyDescent="0.25">
      <c r="A80" s="44"/>
      <c r="B80" s="139"/>
      <c r="C80" s="140"/>
      <c r="D80" s="140"/>
      <c r="E80" s="140"/>
      <c r="F80" s="140"/>
      <c r="G80" s="140"/>
      <c r="H80" s="140"/>
      <c r="I80" s="141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</row>
    <row r="81" spans="1:35" x14ac:dyDescent="0.25">
      <c r="A81" s="44"/>
      <c r="B81" s="139"/>
      <c r="C81" s="140"/>
      <c r="D81" s="140"/>
      <c r="E81" s="140"/>
      <c r="F81" s="140"/>
      <c r="G81" s="140"/>
      <c r="H81" s="140"/>
      <c r="I81" s="141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</row>
    <row r="82" spans="1:35" x14ac:dyDescent="0.25">
      <c r="A82" s="44"/>
      <c r="B82" s="139"/>
      <c r="C82" s="140"/>
      <c r="D82" s="140"/>
      <c r="E82" s="140"/>
      <c r="F82" s="140"/>
      <c r="G82" s="140"/>
      <c r="H82" s="140"/>
      <c r="I82" s="141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</row>
    <row r="83" spans="1:35" x14ac:dyDescent="0.25">
      <c r="A83" s="44"/>
      <c r="B83" s="139"/>
      <c r="C83" s="140"/>
      <c r="D83" s="140"/>
      <c r="E83" s="140"/>
      <c r="F83" s="140"/>
      <c r="G83" s="140"/>
      <c r="H83" s="140"/>
      <c r="I83" s="141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</row>
    <row r="84" spans="1:35" x14ac:dyDescent="0.25">
      <c r="A84" s="44"/>
      <c r="B84" s="139"/>
      <c r="C84" s="140"/>
      <c r="D84" s="140"/>
      <c r="E84" s="140"/>
      <c r="F84" s="140"/>
      <c r="G84" s="140"/>
      <c r="H84" s="140"/>
      <c r="I84" s="141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</row>
    <row r="85" spans="1:35" x14ac:dyDescent="0.25">
      <c r="A85" s="44"/>
      <c r="B85" s="139"/>
      <c r="C85" s="140"/>
      <c r="D85" s="140"/>
      <c r="E85" s="140"/>
      <c r="F85" s="140"/>
      <c r="G85" s="140"/>
      <c r="H85" s="140"/>
      <c r="I85" s="141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</row>
    <row r="86" spans="1:35" x14ac:dyDescent="0.25">
      <c r="A86" s="44"/>
      <c r="B86" s="139"/>
      <c r="C86" s="140"/>
      <c r="D86" s="140"/>
      <c r="E86" s="140"/>
      <c r="F86" s="140"/>
      <c r="G86" s="140"/>
      <c r="H86" s="140"/>
      <c r="I86" s="141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</row>
    <row r="87" spans="1:35" x14ac:dyDescent="0.25">
      <c r="A87" s="44"/>
      <c r="B87" s="139"/>
      <c r="C87" s="140"/>
      <c r="D87" s="140"/>
      <c r="E87" s="140"/>
      <c r="F87" s="140"/>
      <c r="G87" s="140"/>
      <c r="H87" s="140"/>
      <c r="I87" s="141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</row>
    <row r="88" spans="1:35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</row>
    <row r="89" spans="1:35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</row>
    <row r="90" spans="1:35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</row>
    <row r="91" spans="1:35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</row>
    <row r="92" spans="1:35" x14ac:dyDescent="0.25">
      <c r="A92" s="142" t="s">
        <v>166</v>
      </c>
      <c r="B92" s="142"/>
      <c r="C92" s="142"/>
      <c r="D92" s="142"/>
      <c r="E92" s="142"/>
      <c r="F92" s="142"/>
      <c r="G92" s="142"/>
      <c r="H92" s="142"/>
      <c r="I92" s="142"/>
      <c r="J92" s="142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</row>
    <row r="93" spans="1:35" x14ac:dyDescent="0.25">
      <c r="A93" s="142"/>
      <c r="B93" s="142"/>
      <c r="C93" s="142"/>
      <c r="D93" s="142"/>
      <c r="E93" s="142"/>
      <c r="F93" s="142"/>
      <c r="G93" s="142"/>
      <c r="H93" s="142"/>
      <c r="I93" s="142"/>
      <c r="J93" s="142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</row>
    <row r="94" spans="1:35" ht="15.75" thickBot="1" x14ac:dyDescent="0.3">
      <c r="A94" s="142"/>
      <c r="B94" s="142"/>
      <c r="C94" s="142"/>
      <c r="D94" s="142"/>
      <c r="E94" s="142"/>
      <c r="F94" s="142"/>
      <c r="G94" s="142"/>
      <c r="H94" s="142"/>
      <c r="I94" s="142"/>
      <c r="J94" s="142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</row>
    <row r="95" spans="1:35" ht="46.5" x14ac:dyDescent="0.25">
      <c r="A95" s="44"/>
      <c r="B95" s="112" t="s">
        <v>167</v>
      </c>
      <c r="C95" s="103"/>
      <c r="D95" s="103"/>
      <c r="E95" s="127" t="s">
        <v>176</v>
      </c>
      <c r="F95" s="128"/>
      <c r="G95" s="10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</row>
    <row r="96" spans="1:35" ht="32.25" thickBot="1" x14ac:dyDescent="0.3">
      <c r="A96" s="44"/>
      <c r="B96" s="113"/>
      <c r="C96" s="50"/>
      <c r="D96" s="50"/>
      <c r="E96" s="90" t="s">
        <v>177</v>
      </c>
      <c r="F96" s="90" t="s">
        <v>178</v>
      </c>
      <c r="G96" s="106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</row>
    <row r="97" spans="1:35" ht="32.25" thickTop="1" x14ac:dyDescent="0.25">
      <c r="A97" s="44"/>
      <c r="B97" s="113"/>
      <c r="C97" s="124" t="s">
        <v>182</v>
      </c>
      <c r="D97" s="91" t="s">
        <v>179</v>
      </c>
      <c r="E97" s="92"/>
      <c r="F97" s="93"/>
      <c r="G97" s="106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</row>
    <row r="98" spans="1:35" ht="31.5" x14ac:dyDescent="0.25">
      <c r="A98" s="44"/>
      <c r="B98" s="113"/>
      <c r="C98" s="125"/>
      <c r="D98" s="94" t="s">
        <v>180</v>
      </c>
      <c r="E98" s="95"/>
      <c r="F98" s="96"/>
      <c r="G98" s="106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</row>
    <row r="99" spans="1:35" ht="32.25" thickBot="1" x14ac:dyDescent="0.3">
      <c r="A99" s="44"/>
      <c r="B99" s="113"/>
      <c r="C99" s="126"/>
      <c r="D99" s="97" t="s">
        <v>181</v>
      </c>
      <c r="E99" s="98"/>
      <c r="F99" s="99"/>
      <c r="G99" s="106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</row>
    <row r="100" spans="1:35" ht="15.75" thickTop="1" x14ac:dyDescent="0.25">
      <c r="A100" s="44"/>
      <c r="B100" s="107"/>
      <c r="C100" s="50"/>
      <c r="D100" s="50"/>
      <c r="E100" s="50"/>
      <c r="F100" s="50"/>
      <c r="G100" s="106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</row>
    <row r="101" spans="1:35" ht="15.75" thickBot="1" x14ac:dyDescent="0.3">
      <c r="A101" s="44"/>
      <c r="B101" s="109"/>
      <c r="C101" s="110"/>
      <c r="D101" s="110"/>
      <c r="E101" s="110"/>
      <c r="F101" s="110"/>
      <c r="G101" s="111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</row>
    <row r="102" spans="1:35" ht="15.75" thickBot="1" x14ac:dyDescent="0.3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</row>
    <row r="103" spans="1:35" ht="33.75" x14ac:dyDescent="0.5">
      <c r="A103" s="44"/>
      <c r="B103" s="102"/>
      <c r="C103" s="129" t="s">
        <v>183</v>
      </c>
      <c r="D103" s="129"/>
      <c r="E103" s="129"/>
      <c r="F103" s="103"/>
      <c r="G103" s="10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</row>
    <row r="104" spans="1:35" ht="46.5" x14ac:dyDescent="0.25">
      <c r="A104" s="44"/>
      <c r="B104" s="105" t="s">
        <v>168</v>
      </c>
      <c r="C104" s="87" t="s">
        <v>188</v>
      </c>
      <c r="D104" s="87" t="s">
        <v>187</v>
      </c>
      <c r="E104" s="87" t="s">
        <v>193</v>
      </c>
      <c r="F104" s="50"/>
      <c r="G104" s="106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5" ht="33.75" x14ac:dyDescent="0.25">
      <c r="A105" s="44"/>
      <c r="B105" s="107"/>
      <c r="C105" s="108"/>
      <c r="D105" s="108"/>
      <c r="E105" s="108"/>
      <c r="F105" s="50"/>
      <c r="G105" s="106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5" x14ac:dyDescent="0.25">
      <c r="A106" s="44"/>
      <c r="B106" s="107"/>
      <c r="C106" s="50"/>
      <c r="D106" s="50"/>
      <c r="E106" s="50"/>
      <c r="F106" s="50"/>
      <c r="G106" s="106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</row>
    <row r="107" spans="1:35" x14ac:dyDescent="0.25">
      <c r="A107" s="44"/>
      <c r="B107" s="107"/>
      <c r="C107" s="50"/>
      <c r="D107" s="50"/>
      <c r="E107" s="50"/>
      <c r="F107" s="50"/>
      <c r="G107" s="106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</row>
    <row r="108" spans="1:35" ht="33.75" x14ac:dyDescent="0.5">
      <c r="A108" s="44"/>
      <c r="B108" s="107"/>
      <c r="C108" s="120" t="s">
        <v>185</v>
      </c>
      <c r="D108" s="120"/>
      <c r="E108" s="120"/>
      <c r="F108" s="50"/>
      <c r="G108" s="106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</row>
    <row r="109" spans="1:35" ht="23.25" x14ac:dyDescent="0.25">
      <c r="A109" s="44"/>
      <c r="B109" s="107"/>
      <c r="C109" s="87" t="s">
        <v>188</v>
      </c>
      <c r="D109" s="87" t="s">
        <v>187</v>
      </c>
      <c r="E109" s="87" t="s">
        <v>193</v>
      </c>
      <c r="F109" s="50"/>
      <c r="G109" s="106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</row>
    <row r="110" spans="1:35" ht="33.75" x14ac:dyDescent="0.25">
      <c r="A110" s="44"/>
      <c r="B110" s="107"/>
      <c r="C110" s="108"/>
      <c r="D110" s="108"/>
      <c r="E110" s="108"/>
      <c r="F110" s="50"/>
      <c r="G110" s="106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</row>
    <row r="111" spans="1:35" x14ac:dyDescent="0.25">
      <c r="A111" s="44"/>
      <c r="B111" s="107"/>
      <c r="C111" s="50"/>
      <c r="D111" s="50"/>
      <c r="E111" s="50"/>
      <c r="F111" s="50"/>
      <c r="G111" s="106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</row>
    <row r="112" spans="1:35" x14ac:dyDescent="0.25">
      <c r="A112" s="44"/>
      <c r="B112" s="107"/>
      <c r="C112" s="50"/>
      <c r="D112" s="50"/>
      <c r="E112" s="50"/>
      <c r="F112" s="50"/>
      <c r="G112" s="106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</row>
    <row r="113" spans="1:35" ht="33.75" x14ac:dyDescent="0.5">
      <c r="A113" s="44"/>
      <c r="B113" s="107"/>
      <c r="C113" s="120" t="s">
        <v>186</v>
      </c>
      <c r="D113" s="120"/>
      <c r="E113" s="120"/>
      <c r="F113" s="50"/>
      <c r="G113" s="106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</row>
    <row r="114" spans="1:35" ht="23.25" x14ac:dyDescent="0.25">
      <c r="A114" s="44"/>
      <c r="B114" s="107"/>
      <c r="C114" s="87" t="s">
        <v>188</v>
      </c>
      <c r="D114" s="87" t="s">
        <v>187</v>
      </c>
      <c r="E114" s="87" t="s">
        <v>193</v>
      </c>
      <c r="F114" s="50"/>
      <c r="G114" s="106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</row>
    <row r="115" spans="1:35" ht="33.75" x14ac:dyDescent="0.25">
      <c r="A115" s="44"/>
      <c r="B115" s="107"/>
      <c r="C115" s="108"/>
      <c r="D115" s="108"/>
      <c r="E115" s="108"/>
      <c r="F115" s="50"/>
      <c r="G115" s="106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</row>
    <row r="116" spans="1:35" x14ac:dyDescent="0.25">
      <c r="A116" s="44"/>
      <c r="B116" s="107"/>
      <c r="C116" s="50"/>
      <c r="D116" s="50"/>
      <c r="E116" s="50"/>
      <c r="F116" s="50"/>
      <c r="G116" s="106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</row>
    <row r="117" spans="1:35" ht="15.75" thickBot="1" x14ac:dyDescent="0.3">
      <c r="A117" s="44"/>
      <c r="B117" s="109"/>
      <c r="C117" s="110"/>
      <c r="D117" s="110"/>
      <c r="E117" s="110"/>
      <c r="F117" s="110"/>
      <c r="G117" s="111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</row>
    <row r="118" spans="1:35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</row>
    <row r="119" spans="1:35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</row>
    <row r="120" spans="1:35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</row>
    <row r="121" spans="1:35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</row>
    <row r="122" spans="1:35" ht="15.75" thickBot="1" x14ac:dyDescent="0.3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</row>
    <row r="123" spans="1:35" ht="47.25" thickBot="1" x14ac:dyDescent="0.3">
      <c r="A123" s="44"/>
      <c r="B123" s="112" t="s">
        <v>190</v>
      </c>
      <c r="C123" s="103"/>
      <c r="D123" s="103"/>
      <c r="E123" s="103"/>
      <c r="F123" s="103"/>
      <c r="G123" s="10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</row>
    <row r="124" spans="1:35" ht="24" thickBot="1" x14ac:dyDescent="0.3">
      <c r="A124" s="44"/>
      <c r="B124" s="107"/>
      <c r="C124" s="116" t="s">
        <v>136</v>
      </c>
      <c r="D124" s="116" t="s">
        <v>137</v>
      </c>
      <c r="E124" s="116" t="s">
        <v>138</v>
      </c>
      <c r="F124" s="117" t="s">
        <v>139</v>
      </c>
      <c r="G124" s="115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</row>
    <row r="125" spans="1:35" ht="33.75" x14ac:dyDescent="0.25">
      <c r="A125" s="44"/>
      <c r="B125" s="107"/>
      <c r="C125" s="108"/>
      <c r="D125" s="108"/>
      <c r="E125" s="108"/>
      <c r="F125" s="108"/>
      <c r="G125" s="11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</row>
    <row r="126" spans="1:35" x14ac:dyDescent="0.25">
      <c r="A126" s="44"/>
      <c r="B126" s="107"/>
      <c r="C126" s="50"/>
      <c r="D126" s="50"/>
      <c r="E126" s="50"/>
      <c r="F126" s="50"/>
      <c r="G126" s="106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</row>
    <row r="127" spans="1:35" x14ac:dyDescent="0.25">
      <c r="A127" s="44"/>
      <c r="B127" s="107"/>
      <c r="C127" s="50"/>
      <c r="D127" s="50"/>
      <c r="E127" s="50"/>
      <c r="F127" s="50"/>
      <c r="G127" s="106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</row>
    <row r="128" spans="1:35" x14ac:dyDescent="0.25">
      <c r="A128" s="44"/>
      <c r="B128" s="107"/>
      <c r="C128" s="50"/>
      <c r="D128" s="50"/>
      <c r="E128" s="50"/>
      <c r="F128" s="50"/>
      <c r="G128" s="106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</row>
    <row r="129" spans="1:35" x14ac:dyDescent="0.25">
      <c r="A129" s="44"/>
      <c r="B129" s="107"/>
      <c r="C129" s="50"/>
      <c r="D129" s="50"/>
      <c r="E129" s="50"/>
      <c r="F129" s="50"/>
      <c r="G129" s="106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</row>
    <row r="130" spans="1:35" x14ac:dyDescent="0.25">
      <c r="A130" s="44"/>
      <c r="B130" s="107"/>
      <c r="C130" s="50"/>
      <c r="D130" s="50"/>
      <c r="E130" s="50"/>
      <c r="F130" s="50"/>
      <c r="G130" s="106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</row>
    <row r="131" spans="1:35" ht="15.75" thickBot="1" x14ac:dyDescent="0.3">
      <c r="A131" s="44"/>
      <c r="B131" s="109"/>
      <c r="C131" s="110"/>
      <c r="D131" s="110"/>
      <c r="E131" s="110"/>
      <c r="F131" s="110"/>
      <c r="G131" s="111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</row>
    <row r="132" spans="1:35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</row>
    <row r="133" spans="1:35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</row>
    <row r="134" spans="1:35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</row>
    <row r="135" spans="1:35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</row>
    <row r="136" spans="1:35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</row>
    <row r="137" spans="1:35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</row>
    <row r="138" spans="1:35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</row>
    <row r="139" spans="1:35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</row>
    <row r="140" spans="1:35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</row>
    <row r="141" spans="1:35" x14ac:dyDescent="0.25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</row>
    <row r="142" spans="1:35" x14ac:dyDescent="0.25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</row>
    <row r="143" spans="1:35" x14ac:dyDescent="0.25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</row>
    <row r="144" spans="1:35" x14ac:dyDescent="0.25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</row>
    <row r="145" spans="1:35" x14ac:dyDescent="0.25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</row>
    <row r="146" spans="1:35" x14ac:dyDescent="0.25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</row>
    <row r="147" spans="1:35" x14ac:dyDescent="0.25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</row>
    <row r="148" spans="1:35" x14ac:dyDescent="0.25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</row>
    <row r="149" spans="1:35" x14ac:dyDescent="0.25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</row>
    <row r="150" spans="1:35" x14ac:dyDescent="0.25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</row>
    <row r="151" spans="1:35" x14ac:dyDescent="0.25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</row>
    <row r="152" spans="1:35" x14ac:dyDescent="0.25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</row>
    <row r="153" spans="1:35" x14ac:dyDescent="0.25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</row>
    <row r="154" spans="1:35" x14ac:dyDescent="0.25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</row>
    <row r="155" spans="1:35" x14ac:dyDescent="0.25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</row>
  </sheetData>
  <mergeCells count="13">
    <mergeCell ref="B11:I25"/>
    <mergeCell ref="B73:I87"/>
    <mergeCell ref="A92:J94"/>
    <mergeCell ref="B58:I72"/>
    <mergeCell ref="B36:I36"/>
    <mergeCell ref="B41:D41"/>
    <mergeCell ref="G39:I39"/>
    <mergeCell ref="C108:E108"/>
    <mergeCell ref="C113:E113"/>
    <mergeCell ref="B48:I53"/>
    <mergeCell ref="C97:C99"/>
    <mergeCell ref="E95:F95"/>
    <mergeCell ref="C103:E103"/>
  </mergeCells>
  <pageMargins left="0.7" right="0.7" top="0.75" bottom="0.75" header="0.3" footer="0.3"/>
  <pageSetup paperSize="9" scale="22" orientation="landscape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59"/>
  <sheetViews>
    <sheetView zoomScale="120" zoomScaleNormal="120" workbookViewId="0">
      <selection activeCell="H11" sqref="H11"/>
    </sheetView>
  </sheetViews>
  <sheetFormatPr defaultRowHeight="15" x14ac:dyDescent="0.25"/>
  <cols>
    <col min="1" max="1" width="1.7109375" customWidth="1"/>
    <col min="2" max="2" width="41.28515625" bestFit="1" customWidth="1"/>
    <col min="3" max="3" width="9.140625" bestFit="1" customWidth="1"/>
    <col min="4" max="4" width="10.85546875" bestFit="1" customWidth="1"/>
    <col min="5" max="5" width="9.140625" customWidth="1"/>
    <col min="6" max="6" width="7.7109375" bestFit="1" customWidth="1"/>
    <col min="7" max="7" width="12.28515625" bestFit="1" customWidth="1"/>
  </cols>
  <sheetData>
    <row r="1" spans="2:11" ht="5.0999999999999996" customHeight="1" x14ac:dyDescent="0.25"/>
    <row r="2" spans="2:11" ht="11.25" customHeight="1" x14ac:dyDescent="0.25"/>
    <row r="3" spans="2:11" s="12" customFormat="1" ht="11.25" customHeight="1" x14ac:dyDescent="0.35">
      <c r="B3" s="118"/>
      <c r="C3" s="118"/>
      <c r="D3" s="118"/>
      <c r="E3" s="118"/>
      <c r="F3" s="118"/>
      <c r="G3" s="118"/>
    </row>
    <row r="4" spans="2:11" s="12" customFormat="1" ht="11.25" customHeight="1" x14ac:dyDescent="0.35">
      <c r="B4" s="119"/>
      <c r="C4" s="119"/>
      <c r="D4" s="119"/>
      <c r="E4" s="119"/>
      <c r="F4" s="119"/>
      <c r="G4" s="119"/>
    </row>
    <row r="5" spans="2:11" ht="11.25" customHeight="1" x14ac:dyDescent="0.25">
      <c r="H5" s="12"/>
      <c r="I5" s="12"/>
      <c r="J5" s="12"/>
      <c r="K5" s="12"/>
    </row>
    <row r="6" spans="2:11" x14ac:dyDescent="0.25">
      <c r="B6" s="159" t="s">
        <v>129</v>
      </c>
      <c r="C6" s="160"/>
      <c r="D6" s="160"/>
      <c r="E6" s="160"/>
      <c r="F6" s="160"/>
      <c r="G6" s="13"/>
      <c r="H6" s="12"/>
      <c r="I6" s="12"/>
      <c r="J6" s="12"/>
    </row>
    <row r="7" spans="2:11" x14ac:dyDescent="0.25">
      <c r="B7" s="45"/>
      <c r="C7" s="83"/>
      <c r="D7" s="82"/>
      <c r="E7" s="82"/>
      <c r="F7" s="82"/>
      <c r="G7" s="13"/>
      <c r="H7" s="12"/>
      <c r="I7" s="12"/>
      <c r="J7" s="12"/>
    </row>
    <row r="8" spans="2:11" x14ac:dyDescent="0.25">
      <c r="B8" s="26" t="s">
        <v>130</v>
      </c>
      <c r="C8" s="43" t="s">
        <v>136</v>
      </c>
      <c r="D8" s="43" t="s">
        <v>137</v>
      </c>
      <c r="E8" s="43" t="s">
        <v>138</v>
      </c>
      <c r="F8" s="43" t="s">
        <v>139</v>
      </c>
      <c r="G8" s="12"/>
      <c r="H8" s="12"/>
      <c r="I8" s="12"/>
      <c r="J8" s="12"/>
    </row>
    <row r="9" spans="2:11" x14ac:dyDescent="0.25">
      <c r="B9" s="26" t="s">
        <v>133</v>
      </c>
      <c r="C9" s="14"/>
      <c r="D9" s="14"/>
      <c r="E9" s="14"/>
      <c r="F9" s="14"/>
      <c r="G9" s="12"/>
      <c r="H9" s="12"/>
      <c r="I9" s="12"/>
      <c r="J9" s="12"/>
    </row>
    <row r="10" spans="2:11" x14ac:dyDescent="0.25">
      <c r="B10" s="26"/>
      <c r="C10" s="27"/>
      <c r="D10" s="27"/>
      <c r="E10" s="27"/>
      <c r="F10" s="27"/>
      <c r="G10" s="12"/>
      <c r="H10" s="12"/>
      <c r="I10" s="12"/>
      <c r="J10" s="12"/>
    </row>
    <row r="11" spans="2:11" x14ac:dyDescent="0.25">
      <c r="B11" s="16" t="s">
        <v>144</v>
      </c>
      <c r="C11" s="72"/>
      <c r="D11" s="72"/>
      <c r="E11" s="72"/>
      <c r="F11" s="72"/>
      <c r="G11" s="12"/>
      <c r="H11" s="12"/>
      <c r="I11" s="12"/>
      <c r="J11" s="12"/>
    </row>
    <row r="12" spans="2:11" x14ac:dyDescent="0.25">
      <c r="B12" s="16"/>
      <c r="C12" s="27"/>
      <c r="D12" s="27"/>
      <c r="E12" s="27"/>
      <c r="F12" s="27"/>
      <c r="G12" s="12"/>
      <c r="H12" s="12"/>
      <c r="I12" s="12"/>
      <c r="J12" s="12"/>
    </row>
    <row r="13" spans="2:11" ht="15.75" thickBot="1" x14ac:dyDescent="0.3">
      <c r="B13" s="28" t="s">
        <v>134</v>
      </c>
      <c r="C13" s="29"/>
      <c r="D13" s="29"/>
      <c r="E13" s="29"/>
      <c r="F13" s="29"/>
      <c r="G13" s="12"/>
      <c r="H13" s="12"/>
      <c r="I13" s="12"/>
      <c r="J13" s="12"/>
    </row>
    <row r="14" spans="2:11" ht="15.75" thickBot="1" x14ac:dyDescent="0.3">
      <c r="H14" s="12"/>
      <c r="I14" s="12"/>
      <c r="J14" s="12"/>
      <c r="K14" s="12"/>
    </row>
    <row r="15" spans="2:11" ht="15.75" thickBot="1" x14ac:dyDescent="0.3">
      <c r="B15" s="156" t="s">
        <v>174</v>
      </c>
      <c r="C15" s="157"/>
      <c r="D15" s="157"/>
      <c r="E15" s="157"/>
      <c r="F15" s="157"/>
      <c r="G15" s="158"/>
      <c r="H15" s="12"/>
      <c r="I15" s="12"/>
      <c r="J15" s="12"/>
      <c r="K15" s="12"/>
    </row>
    <row r="16" spans="2:11" x14ac:dyDescent="0.25">
      <c r="B16" s="16"/>
      <c r="C16" s="14"/>
      <c r="D16" s="14"/>
      <c r="E16" s="17"/>
      <c r="F16" s="14"/>
      <c r="G16" s="18"/>
      <c r="H16" s="12"/>
      <c r="I16" s="12"/>
      <c r="J16" s="12"/>
      <c r="K16" s="12"/>
    </row>
    <row r="17" spans="2:11" x14ac:dyDescent="0.25">
      <c r="B17" s="16"/>
      <c r="C17" s="19"/>
      <c r="D17" s="19"/>
      <c r="E17" s="17"/>
      <c r="F17" s="17"/>
      <c r="G17" s="20"/>
      <c r="H17" s="12"/>
      <c r="I17" s="12"/>
      <c r="J17" s="12"/>
      <c r="K17" s="12"/>
    </row>
    <row r="18" spans="2:11" ht="15.75" thickBot="1" x14ac:dyDescent="0.3">
      <c r="B18" s="21"/>
      <c r="C18" s="22"/>
      <c r="D18" s="22"/>
      <c r="E18" s="23"/>
      <c r="F18" s="23"/>
      <c r="G18" s="24"/>
      <c r="H18" s="12"/>
      <c r="I18" s="12"/>
      <c r="J18" s="12"/>
      <c r="K18" s="12"/>
    </row>
    <row r="19" spans="2:11" ht="15.75" thickBot="1" x14ac:dyDescent="0.3">
      <c r="B19" s="25"/>
      <c r="C19" s="25"/>
      <c r="D19" s="25"/>
      <c r="E19" s="25"/>
      <c r="F19" s="25"/>
      <c r="G19" s="25"/>
      <c r="H19" s="12"/>
      <c r="I19" s="12"/>
      <c r="J19" s="12"/>
      <c r="K19" s="12"/>
    </row>
    <row r="20" spans="2:11" ht="15.75" thickBot="1" x14ac:dyDescent="0.3">
      <c r="B20" s="156" t="s">
        <v>131</v>
      </c>
      <c r="C20" s="157"/>
      <c r="D20" s="157"/>
      <c r="E20" s="157"/>
      <c r="F20" s="157"/>
      <c r="G20" s="158"/>
      <c r="H20" s="12"/>
      <c r="I20" s="12"/>
      <c r="J20" s="12"/>
      <c r="K20" s="12"/>
    </row>
    <row r="21" spans="2:11" x14ac:dyDescent="0.25">
      <c r="B21" s="30"/>
      <c r="C21" s="31"/>
      <c r="D21" s="31"/>
      <c r="E21" s="31"/>
      <c r="F21" s="31"/>
      <c r="G21" s="32"/>
      <c r="H21" s="12"/>
      <c r="I21" s="12"/>
      <c r="J21" s="12"/>
      <c r="K21" s="12"/>
    </row>
    <row r="22" spans="2:11" ht="15.75" thickBot="1" x14ac:dyDescent="0.3">
      <c r="B22" s="21"/>
      <c r="C22" s="22"/>
      <c r="D22" s="22"/>
      <c r="E22" s="22"/>
      <c r="F22" s="22"/>
      <c r="G22" s="33"/>
      <c r="H22" s="12"/>
      <c r="I22" s="12"/>
      <c r="J22" s="12"/>
      <c r="K22" s="12"/>
    </row>
    <row r="23" spans="2:11" x14ac:dyDescent="0.25">
      <c r="B23" s="25"/>
      <c r="C23" s="25"/>
      <c r="D23" s="25"/>
      <c r="E23" s="25"/>
      <c r="F23" s="25"/>
      <c r="G23" s="25"/>
      <c r="H23" s="12"/>
      <c r="I23" s="12"/>
      <c r="J23" s="12"/>
      <c r="K23" s="12"/>
    </row>
    <row r="24" spans="2:11" ht="15.75" thickBot="1" x14ac:dyDescent="0.3">
      <c r="B24" s="25"/>
      <c r="C24" s="25"/>
      <c r="D24" s="25"/>
      <c r="E24" s="34"/>
      <c r="F24" s="34"/>
      <c r="G24" s="34"/>
      <c r="H24" s="12"/>
      <c r="I24" s="12"/>
      <c r="J24" s="12"/>
      <c r="K24" s="12"/>
    </row>
    <row r="25" spans="2:11" ht="15.75" thickBot="1" x14ac:dyDescent="0.3">
      <c r="B25" s="156" t="s">
        <v>132</v>
      </c>
      <c r="C25" s="157"/>
      <c r="D25" s="157"/>
      <c r="E25" s="157"/>
      <c r="F25" s="157"/>
      <c r="G25" s="158"/>
      <c r="H25" s="12"/>
      <c r="I25" s="12"/>
      <c r="J25" s="12"/>
      <c r="K25" s="12"/>
    </row>
    <row r="26" spans="2:11" x14ac:dyDescent="0.25">
      <c r="B26" s="35"/>
      <c r="C26" s="36"/>
      <c r="D26" s="36"/>
      <c r="E26" s="37"/>
      <c r="F26" s="37"/>
      <c r="G26" s="38"/>
      <c r="H26" s="12"/>
      <c r="I26" s="12"/>
      <c r="J26" s="12"/>
      <c r="K26" s="12"/>
    </row>
    <row r="27" spans="2:11" ht="15.75" thickBot="1" x14ac:dyDescent="0.3">
      <c r="B27" s="21"/>
      <c r="C27" s="22"/>
      <c r="D27" s="15"/>
      <c r="E27" s="22"/>
      <c r="F27" s="15"/>
      <c r="G27" s="39"/>
      <c r="H27" s="12"/>
      <c r="I27" s="12"/>
      <c r="J27" s="12"/>
      <c r="K27" s="12"/>
    </row>
    <row r="28" spans="2:11" ht="15.75" thickBot="1" x14ac:dyDescent="0.3">
      <c r="B28" s="25"/>
      <c r="C28" s="25"/>
      <c r="D28" s="34"/>
      <c r="E28" s="34"/>
      <c r="F28" s="34"/>
      <c r="G28" s="40"/>
      <c r="H28" s="12"/>
      <c r="I28" s="12"/>
      <c r="J28" s="12"/>
      <c r="K28" s="12"/>
    </row>
    <row r="29" spans="2:11" ht="15.75" thickBot="1" x14ac:dyDescent="0.3">
      <c r="B29" s="156" t="s">
        <v>135</v>
      </c>
      <c r="C29" s="157"/>
      <c r="D29" s="12"/>
      <c r="E29" s="12"/>
      <c r="F29" s="12"/>
      <c r="G29" s="12"/>
    </row>
    <row r="30" spans="2:11" x14ac:dyDescent="0.25">
      <c r="B30" s="42"/>
      <c r="C30" s="41"/>
      <c r="D30" s="12"/>
      <c r="E30" s="12"/>
      <c r="F30" s="12"/>
      <c r="G30" s="12"/>
    </row>
    <row r="31" spans="2:11" ht="15.75" thickBot="1" x14ac:dyDescent="0.3">
      <c r="B31" s="21"/>
      <c r="C31" s="89"/>
      <c r="D31" s="12"/>
      <c r="E31" s="12"/>
      <c r="F31" s="12"/>
      <c r="G31" s="12"/>
    </row>
    <row r="32" spans="2:11" x14ac:dyDescent="0.25">
      <c r="B32" s="1"/>
      <c r="C32" s="1"/>
    </row>
    <row r="33" spans="2:7" x14ac:dyDescent="0.25">
      <c r="B33" s="1"/>
      <c r="C33" s="1"/>
      <c r="D33" s="1"/>
      <c r="E33" s="1"/>
      <c r="F33" s="1"/>
      <c r="G33" s="2"/>
    </row>
    <row r="34" spans="2:7" x14ac:dyDescent="0.25">
      <c r="B34" s="1"/>
      <c r="C34" s="1"/>
      <c r="D34" s="1"/>
      <c r="E34" s="1"/>
      <c r="F34" s="1"/>
      <c r="G34" s="2"/>
    </row>
    <row r="35" spans="2:7" x14ac:dyDescent="0.25">
      <c r="B35" s="1"/>
      <c r="C35" s="1"/>
      <c r="D35" s="1"/>
      <c r="E35" s="1"/>
      <c r="F35" s="1"/>
      <c r="G35" s="2"/>
    </row>
    <row r="36" spans="2:7" x14ac:dyDescent="0.25">
      <c r="B36" s="1"/>
      <c r="C36" s="1"/>
      <c r="D36" s="1"/>
      <c r="E36" s="1"/>
      <c r="F36" s="1"/>
      <c r="G36" s="2"/>
    </row>
    <row r="37" spans="2:7" x14ac:dyDescent="0.25">
      <c r="B37" s="1"/>
      <c r="C37" s="1"/>
      <c r="D37" s="1"/>
      <c r="E37" s="1"/>
      <c r="F37" s="1"/>
      <c r="G37" s="2"/>
    </row>
    <row r="38" spans="2:7" x14ac:dyDescent="0.25">
      <c r="B38" s="1"/>
      <c r="C38" s="1"/>
      <c r="D38" s="1"/>
      <c r="E38" s="1"/>
      <c r="F38" s="1"/>
      <c r="G38" s="2"/>
    </row>
    <row r="39" spans="2:7" x14ac:dyDescent="0.25">
      <c r="B39" s="1"/>
      <c r="C39" s="1"/>
      <c r="D39" s="1"/>
      <c r="E39" s="1"/>
      <c r="F39" s="1"/>
      <c r="G39" s="2"/>
    </row>
    <row r="40" spans="2:7" x14ac:dyDescent="0.25">
      <c r="B40" s="1"/>
      <c r="C40" s="1"/>
      <c r="D40" s="1"/>
      <c r="E40" s="1"/>
      <c r="F40" s="1"/>
      <c r="G40" s="2"/>
    </row>
    <row r="41" spans="2:7" x14ac:dyDescent="0.25">
      <c r="B41" s="1"/>
      <c r="C41" s="1"/>
      <c r="D41" s="1"/>
      <c r="E41" s="1"/>
      <c r="F41" s="1"/>
      <c r="G41" s="2"/>
    </row>
    <row r="42" spans="2:7" x14ac:dyDescent="0.25">
      <c r="B42" s="1"/>
      <c r="C42" s="1"/>
      <c r="D42" s="1"/>
      <c r="E42" s="1"/>
      <c r="F42" s="1"/>
      <c r="G42" s="2"/>
    </row>
    <row r="43" spans="2:7" x14ac:dyDescent="0.25">
      <c r="B43" s="1"/>
      <c r="C43" s="1"/>
      <c r="D43" s="1"/>
      <c r="E43" s="1"/>
      <c r="F43" s="1"/>
      <c r="G43" s="2"/>
    </row>
    <row r="44" spans="2:7" x14ac:dyDescent="0.25">
      <c r="B44" s="1"/>
      <c r="C44" s="1"/>
      <c r="D44" s="1"/>
      <c r="E44" s="1"/>
      <c r="F44" s="1"/>
      <c r="G44" s="2"/>
    </row>
    <row r="45" spans="2:7" x14ac:dyDescent="0.25">
      <c r="B45" s="1"/>
      <c r="C45" s="1"/>
      <c r="D45" s="1"/>
      <c r="E45" s="1"/>
      <c r="F45" s="1"/>
      <c r="G45" s="2"/>
    </row>
    <row r="46" spans="2:7" x14ac:dyDescent="0.25">
      <c r="B46" s="1"/>
      <c r="C46" s="1"/>
      <c r="D46" s="1"/>
      <c r="E46" s="1"/>
      <c r="F46" s="1"/>
      <c r="G46" s="2"/>
    </row>
    <row r="47" spans="2:7" x14ac:dyDescent="0.25">
      <c r="B47" s="1"/>
      <c r="C47" s="1"/>
      <c r="D47" s="1"/>
      <c r="E47" s="1"/>
      <c r="F47" s="1"/>
      <c r="G47" s="2"/>
    </row>
    <row r="48" spans="2:7" x14ac:dyDescent="0.25">
      <c r="B48" s="1"/>
      <c r="C48" s="1"/>
      <c r="D48" s="1"/>
      <c r="E48" s="1"/>
      <c r="F48" s="1"/>
      <c r="G48" s="2"/>
    </row>
    <row r="49" spans="2:7" x14ac:dyDescent="0.25">
      <c r="B49" s="1"/>
      <c r="C49" s="1"/>
      <c r="D49" s="1"/>
      <c r="E49" s="1"/>
      <c r="F49" s="1"/>
      <c r="G49" s="2"/>
    </row>
    <row r="50" spans="2:7" x14ac:dyDescent="0.25">
      <c r="B50" s="1"/>
      <c r="C50" s="1"/>
      <c r="D50" s="1"/>
      <c r="E50" s="1"/>
      <c r="F50" s="1"/>
      <c r="G50" s="2"/>
    </row>
    <row r="51" spans="2:7" x14ac:dyDescent="0.25">
      <c r="B51" s="1"/>
      <c r="C51" s="1"/>
      <c r="D51" s="1"/>
      <c r="E51" s="1"/>
      <c r="F51" s="1"/>
      <c r="G51" s="2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</sheetData>
  <mergeCells count="5">
    <mergeCell ref="B29:C29"/>
    <mergeCell ref="B25:G25"/>
    <mergeCell ref="B15:G15"/>
    <mergeCell ref="B20:G20"/>
    <mergeCell ref="B6:F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9</xdr:col>
                <xdr:colOff>38100</xdr:colOff>
                <xdr:row>4</xdr:row>
                <xdr:rowOff>28575</xdr:rowOff>
              </from>
              <to>
                <xdr:col>11</xdr:col>
                <xdr:colOff>457200</xdr:colOff>
                <xdr:row>7</xdr:row>
                <xdr:rowOff>28575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91"/>
  <sheetViews>
    <sheetView workbookViewId="0">
      <selection activeCell="G10" sqref="G10"/>
    </sheetView>
  </sheetViews>
  <sheetFormatPr defaultRowHeight="15" x14ac:dyDescent="0.25"/>
  <cols>
    <col min="1" max="1" width="17.85546875" style="77" bestFit="1" customWidth="1"/>
    <col min="2" max="2" width="17.5703125" style="25" bestFit="1" customWidth="1"/>
    <col min="3" max="3" width="22" style="25" bestFit="1" customWidth="1"/>
    <col min="4" max="4" width="16.140625" style="25" bestFit="1" customWidth="1"/>
    <col min="5" max="8" width="9.140625" style="25"/>
    <col min="9" max="9" width="20" style="25" bestFit="1" customWidth="1"/>
    <col min="10" max="16384" width="9.140625" style="25"/>
  </cols>
  <sheetData>
    <row r="1" spans="1:9" ht="15.75" thickBot="1" x14ac:dyDescent="0.3">
      <c r="B1" s="156" t="s">
        <v>165</v>
      </c>
      <c r="C1" s="157"/>
      <c r="D1" s="157"/>
      <c r="E1" s="157"/>
      <c r="I1" s="25" t="s">
        <v>170</v>
      </c>
    </row>
    <row r="2" spans="1:9" x14ac:dyDescent="0.25">
      <c r="B2" s="43" t="s">
        <v>136</v>
      </c>
      <c r="C2" s="43" t="s">
        <v>137</v>
      </c>
      <c r="D2" s="43" t="s">
        <v>138</v>
      </c>
      <c r="E2" s="43" t="s">
        <v>139</v>
      </c>
      <c r="H2" s="73"/>
      <c r="I2" s="25" t="s">
        <v>171</v>
      </c>
    </row>
    <row r="3" spans="1:9" x14ac:dyDescent="0.25">
      <c r="A3" s="78">
        <v>39814</v>
      </c>
      <c r="B3" s="74">
        <v>3</v>
      </c>
      <c r="C3" s="25">
        <v>4</v>
      </c>
      <c r="D3" s="100">
        <v>40.5</v>
      </c>
      <c r="E3" s="100">
        <v>494.65000000000003</v>
      </c>
      <c r="H3" s="88"/>
      <c r="I3" s="25">
        <v>1</v>
      </c>
    </row>
    <row r="4" spans="1:9" x14ac:dyDescent="0.25">
      <c r="A4" s="78">
        <v>39845</v>
      </c>
      <c r="B4" s="74">
        <v>21</v>
      </c>
      <c r="C4" s="25">
        <v>3</v>
      </c>
      <c r="D4" s="100">
        <v>196.5</v>
      </c>
      <c r="E4" s="100">
        <v>2227.9500000000003</v>
      </c>
      <c r="I4" s="25">
        <v>2</v>
      </c>
    </row>
    <row r="5" spans="1:9" x14ac:dyDescent="0.25">
      <c r="A5" s="78">
        <v>39873</v>
      </c>
      <c r="B5" s="74">
        <v>18</v>
      </c>
      <c r="C5" s="25">
        <v>25</v>
      </c>
      <c r="D5" s="100">
        <v>11</v>
      </c>
      <c r="E5" s="100">
        <v>62.5</v>
      </c>
      <c r="I5" s="25">
        <v>3</v>
      </c>
    </row>
    <row r="6" spans="1:9" x14ac:dyDescent="0.25">
      <c r="A6" s="78">
        <v>39904</v>
      </c>
      <c r="B6" s="74">
        <v>14</v>
      </c>
      <c r="C6" s="25">
        <v>10</v>
      </c>
      <c r="D6" s="100">
        <v>126</v>
      </c>
      <c r="E6" s="100">
        <v>214</v>
      </c>
      <c r="I6" s="25">
        <v>4</v>
      </c>
    </row>
    <row r="7" spans="1:9" x14ac:dyDescent="0.25">
      <c r="A7" s="78">
        <v>39934</v>
      </c>
      <c r="B7" s="74">
        <v>21</v>
      </c>
      <c r="C7" s="25">
        <v>17</v>
      </c>
      <c r="D7" s="100">
        <v>326</v>
      </c>
      <c r="E7" s="100">
        <v>7599.1</v>
      </c>
      <c r="I7" s="25">
        <v>5</v>
      </c>
    </row>
    <row r="8" spans="1:9" x14ac:dyDescent="0.25">
      <c r="A8" s="78">
        <v>39965</v>
      </c>
      <c r="B8" s="74">
        <v>15</v>
      </c>
      <c r="C8" s="25">
        <v>5</v>
      </c>
      <c r="D8" s="100">
        <v>67.5</v>
      </c>
      <c r="E8" s="100">
        <v>80</v>
      </c>
      <c r="I8" s="25">
        <v>6</v>
      </c>
    </row>
    <row r="9" spans="1:9" x14ac:dyDescent="0.25">
      <c r="A9" s="78">
        <v>39995</v>
      </c>
      <c r="B9" s="74">
        <v>12</v>
      </c>
      <c r="C9" s="25">
        <v>7</v>
      </c>
      <c r="D9" s="100">
        <v>71.5</v>
      </c>
      <c r="E9" s="100">
        <v>915.95</v>
      </c>
      <c r="I9" s="25">
        <v>7</v>
      </c>
    </row>
    <row r="10" spans="1:9" x14ac:dyDescent="0.25">
      <c r="A10" s="78">
        <v>40026</v>
      </c>
      <c r="B10" s="74">
        <v>19</v>
      </c>
      <c r="C10" s="25">
        <v>14</v>
      </c>
      <c r="D10" s="100">
        <v>171</v>
      </c>
      <c r="E10" s="100">
        <v>256.5</v>
      </c>
      <c r="I10" s="25">
        <v>8</v>
      </c>
    </row>
    <row r="11" spans="1:9" x14ac:dyDescent="0.25">
      <c r="A11" s="78">
        <v>40057</v>
      </c>
      <c r="B11" s="74">
        <v>10</v>
      </c>
      <c r="C11" s="25">
        <v>15</v>
      </c>
      <c r="D11" s="100">
        <v>90</v>
      </c>
      <c r="E11" s="100">
        <v>172.5</v>
      </c>
      <c r="I11" s="25">
        <v>9</v>
      </c>
    </row>
    <row r="12" spans="1:9" x14ac:dyDescent="0.25">
      <c r="A12" s="78">
        <v>40087</v>
      </c>
      <c r="B12" s="74">
        <v>14</v>
      </c>
      <c r="C12" s="25">
        <v>20</v>
      </c>
      <c r="D12" s="100">
        <v>239</v>
      </c>
      <c r="E12" s="100">
        <v>2889.7000000000003</v>
      </c>
      <c r="I12" s="25">
        <v>10</v>
      </c>
    </row>
    <row r="13" spans="1:9" x14ac:dyDescent="0.25">
      <c r="A13" s="78">
        <v>40118</v>
      </c>
      <c r="B13" s="74">
        <v>6</v>
      </c>
      <c r="C13" s="25">
        <v>5</v>
      </c>
      <c r="D13" s="100">
        <v>39.5</v>
      </c>
      <c r="E13" s="100">
        <v>473.35</v>
      </c>
      <c r="I13" s="25">
        <v>11</v>
      </c>
    </row>
    <row r="14" spans="1:9" x14ac:dyDescent="0.25">
      <c r="A14" s="78">
        <v>40148</v>
      </c>
      <c r="B14" s="74">
        <v>20</v>
      </c>
      <c r="C14" s="25">
        <v>18</v>
      </c>
      <c r="D14" s="100">
        <v>225</v>
      </c>
      <c r="E14" s="100">
        <v>5220</v>
      </c>
      <c r="I14" s="25">
        <v>12</v>
      </c>
    </row>
    <row r="15" spans="1:9" x14ac:dyDescent="0.25">
      <c r="A15" s="78">
        <v>40179</v>
      </c>
      <c r="B15" s="74">
        <v>11</v>
      </c>
      <c r="C15" s="25">
        <v>10</v>
      </c>
      <c r="D15" s="100">
        <v>13</v>
      </c>
      <c r="E15" s="100">
        <v>74.5</v>
      </c>
      <c r="G15"/>
      <c r="I15" s="25">
        <v>13</v>
      </c>
    </row>
    <row r="16" spans="1:9" x14ac:dyDescent="0.25">
      <c r="A16" s="78">
        <v>40210</v>
      </c>
      <c r="B16" s="74">
        <v>3</v>
      </c>
      <c r="C16" s="25">
        <v>17</v>
      </c>
      <c r="D16" s="100">
        <v>27</v>
      </c>
      <c r="E16" s="100">
        <v>305.10000000000002</v>
      </c>
      <c r="G16"/>
      <c r="I16" s="25">
        <v>14</v>
      </c>
    </row>
    <row r="17" spans="1:9" x14ac:dyDescent="0.25">
      <c r="A17" s="78">
        <v>40238</v>
      </c>
      <c r="B17" s="74">
        <v>23</v>
      </c>
      <c r="C17" s="25">
        <v>8</v>
      </c>
      <c r="D17" s="100">
        <v>310.5</v>
      </c>
      <c r="E17" s="100">
        <v>3819.15</v>
      </c>
      <c r="G17"/>
      <c r="I17" s="25">
        <v>15</v>
      </c>
    </row>
    <row r="18" spans="1:9" x14ac:dyDescent="0.25">
      <c r="A18" s="78">
        <v>40269</v>
      </c>
      <c r="B18" s="74">
        <v>14</v>
      </c>
      <c r="C18" s="25">
        <v>21</v>
      </c>
      <c r="D18" s="100">
        <v>189</v>
      </c>
      <c r="E18" s="100">
        <v>63</v>
      </c>
      <c r="G18"/>
      <c r="I18" s="25">
        <v>16</v>
      </c>
    </row>
    <row r="19" spans="1:9" x14ac:dyDescent="0.25">
      <c r="A19" s="78">
        <v>40299</v>
      </c>
      <c r="B19" s="74">
        <v>21</v>
      </c>
      <c r="C19" s="25">
        <v>10</v>
      </c>
      <c r="D19" s="100">
        <v>94.5</v>
      </c>
      <c r="E19" s="100">
        <v>189</v>
      </c>
      <c r="G19"/>
      <c r="I19" s="25">
        <v>17</v>
      </c>
    </row>
    <row r="20" spans="1:9" x14ac:dyDescent="0.25">
      <c r="A20" s="78">
        <v>40330</v>
      </c>
      <c r="B20" s="74">
        <v>22</v>
      </c>
      <c r="C20" s="25">
        <v>18</v>
      </c>
      <c r="D20" s="100">
        <v>342</v>
      </c>
      <c r="E20" s="100">
        <v>297</v>
      </c>
      <c r="G20"/>
      <c r="I20" s="25">
        <v>18</v>
      </c>
    </row>
    <row r="21" spans="1:9" x14ac:dyDescent="0.25">
      <c r="A21" s="78">
        <v>40360</v>
      </c>
      <c r="B21" s="74">
        <v>7</v>
      </c>
      <c r="C21" s="25">
        <v>23</v>
      </c>
      <c r="D21" s="100">
        <v>152</v>
      </c>
      <c r="E21" s="100">
        <v>3498.2000000000003</v>
      </c>
      <c r="G21"/>
      <c r="I21" s="25">
        <v>19</v>
      </c>
    </row>
    <row r="22" spans="1:9" x14ac:dyDescent="0.25">
      <c r="A22" s="78">
        <v>40391</v>
      </c>
      <c r="B22" s="74">
        <v>21</v>
      </c>
      <c r="C22" s="25">
        <v>6</v>
      </c>
      <c r="D22" s="100">
        <v>31</v>
      </c>
      <c r="E22" s="100">
        <v>189</v>
      </c>
      <c r="G22"/>
      <c r="I22" s="25">
        <v>20</v>
      </c>
    </row>
    <row r="23" spans="1:9" x14ac:dyDescent="0.25">
      <c r="A23" s="78">
        <v>40422</v>
      </c>
      <c r="B23" s="74">
        <v>10</v>
      </c>
      <c r="C23" s="25">
        <v>7</v>
      </c>
      <c r="D23" s="100">
        <v>107.5</v>
      </c>
      <c r="E23" s="100">
        <v>1232.25</v>
      </c>
      <c r="G23"/>
    </row>
    <row r="24" spans="1:9" x14ac:dyDescent="0.25">
      <c r="A24" s="78">
        <v>40452</v>
      </c>
      <c r="B24" s="74">
        <v>21</v>
      </c>
      <c r="C24" s="25">
        <v>36</v>
      </c>
      <c r="D24" s="100">
        <v>184.5</v>
      </c>
      <c r="E24" s="100">
        <v>2269.35</v>
      </c>
      <c r="G24"/>
    </row>
    <row r="25" spans="1:9" x14ac:dyDescent="0.25">
      <c r="A25" s="78">
        <v>40483</v>
      </c>
      <c r="B25" s="74">
        <v>15</v>
      </c>
      <c r="C25" s="25">
        <v>14</v>
      </c>
      <c r="D25" s="100">
        <v>170</v>
      </c>
      <c r="E25" s="100">
        <v>4012.0000000000005</v>
      </c>
      <c r="G25"/>
    </row>
    <row r="26" spans="1:9" x14ac:dyDescent="0.25">
      <c r="A26" s="78">
        <v>40513</v>
      </c>
      <c r="B26" s="74">
        <v>7</v>
      </c>
      <c r="C26" s="25">
        <v>22</v>
      </c>
      <c r="D26" s="100">
        <v>118</v>
      </c>
      <c r="E26" s="100">
        <v>2698.3</v>
      </c>
      <c r="G26"/>
    </row>
    <row r="27" spans="1:9" x14ac:dyDescent="0.25">
      <c r="A27" s="78">
        <v>40544</v>
      </c>
      <c r="B27" s="74">
        <v>12</v>
      </c>
      <c r="C27" s="25">
        <v>12</v>
      </c>
      <c r="D27" s="100">
        <v>138</v>
      </c>
      <c r="E27" s="100">
        <v>1697.4</v>
      </c>
      <c r="G27"/>
    </row>
    <row r="28" spans="1:9" x14ac:dyDescent="0.25">
      <c r="A28" s="78">
        <v>40575</v>
      </c>
      <c r="B28" s="74">
        <v>17</v>
      </c>
      <c r="C28" s="25">
        <v>11</v>
      </c>
      <c r="D28" s="100">
        <v>229.5</v>
      </c>
      <c r="E28" s="100">
        <v>2697.3500000000004</v>
      </c>
      <c r="G28"/>
    </row>
    <row r="29" spans="1:9" x14ac:dyDescent="0.25">
      <c r="A29" s="78">
        <v>40603</v>
      </c>
      <c r="B29" s="74">
        <v>7</v>
      </c>
      <c r="C29" s="25">
        <v>28</v>
      </c>
      <c r="D29" s="100">
        <v>101.5</v>
      </c>
      <c r="E29" s="100">
        <v>2426.9</v>
      </c>
      <c r="G29"/>
    </row>
    <row r="30" spans="1:9" x14ac:dyDescent="0.25">
      <c r="A30" s="78">
        <v>40634</v>
      </c>
      <c r="B30" s="74">
        <v>4</v>
      </c>
      <c r="C30" s="25">
        <v>2</v>
      </c>
      <c r="D30" s="100">
        <v>23</v>
      </c>
      <c r="E30" s="100">
        <v>282.90000000000003</v>
      </c>
      <c r="G30"/>
    </row>
    <row r="31" spans="1:9" x14ac:dyDescent="0.25">
      <c r="A31" s="78">
        <v>40664</v>
      </c>
      <c r="B31" s="74">
        <v>21</v>
      </c>
      <c r="C31" s="25">
        <v>2</v>
      </c>
      <c r="D31" s="100">
        <v>21</v>
      </c>
      <c r="E31" s="100">
        <v>212.5</v>
      </c>
      <c r="G31"/>
    </row>
    <row r="32" spans="1:9" x14ac:dyDescent="0.25">
      <c r="A32" s="78">
        <v>40695</v>
      </c>
      <c r="B32" s="74">
        <v>8</v>
      </c>
      <c r="C32" s="25">
        <v>25</v>
      </c>
      <c r="D32" s="100">
        <v>23</v>
      </c>
      <c r="E32" s="100">
        <v>134.5</v>
      </c>
      <c r="G32"/>
    </row>
    <row r="33" spans="1:7" x14ac:dyDescent="0.25">
      <c r="A33" s="78">
        <v>40725</v>
      </c>
      <c r="B33" s="74">
        <v>8</v>
      </c>
      <c r="C33" s="25">
        <v>17</v>
      </c>
      <c r="D33" s="100">
        <v>36</v>
      </c>
      <c r="E33" s="100">
        <v>36</v>
      </c>
      <c r="G33"/>
    </row>
    <row r="34" spans="1:7" x14ac:dyDescent="0.25">
      <c r="A34" s="78">
        <v>40756</v>
      </c>
      <c r="B34" s="74">
        <v>9</v>
      </c>
      <c r="C34" s="25">
        <v>10</v>
      </c>
      <c r="D34" s="100">
        <v>38</v>
      </c>
      <c r="E34" s="100">
        <v>25</v>
      </c>
      <c r="G34"/>
    </row>
    <row r="35" spans="1:7" x14ac:dyDescent="0.25">
      <c r="A35" s="78">
        <v>40787</v>
      </c>
      <c r="B35" s="74">
        <v>21</v>
      </c>
      <c r="C35" s="25">
        <v>5</v>
      </c>
      <c r="D35" s="100">
        <v>189</v>
      </c>
      <c r="E35" s="100">
        <v>95</v>
      </c>
      <c r="G35"/>
    </row>
    <row r="36" spans="1:7" x14ac:dyDescent="0.25">
      <c r="A36" s="78">
        <v>40817</v>
      </c>
      <c r="B36" s="74">
        <v>6</v>
      </c>
      <c r="C36" s="25">
        <v>13</v>
      </c>
      <c r="D36" s="100">
        <v>32.5</v>
      </c>
      <c r="E36" s="100">
        <v>448.25</v>
      </c>
      <c r="G36"/>
    </row>
    <row r="37" spans="1:7" x14ac:dyDescent="0.25">
      <c r="A37" s="78">
        <v>40848</v>
      </c>
      <c r="B37" s="74">
        <v>15</v>
      </c>
      <c r="C37" s="25">
        <v>13</v>
      </c>
      <c r="D37" s="100">
        <v>167.5</v>
      </c>
      <c r="E37" s="100">
        <v>4020.5000000000005</v>
      </c>
      <c r="G37"/>
    </row>
    <row r="38" spans="1:7" x14ac:dyDescent="0.25">
      <c r="A38" s="78">
        <v>40878</v>
      </c>
      <c r="B38" s="74">
        <v>14</v>
      </c>
      <c r="C38" s="25">
        <v>5</v>
      </c>
      <c r="D38" s="100">
        <v>138.5</v>
      </c>
      <c r="E38" s="100">
        <v>3142.6000000000004</v>
      </c>
      <c r="G38"/>
    </row>
    <row r="39" spans="1:7" x14ac:dyDescent="0.25">
      <c r="A39" s="78">
        <v>40909</v>
      </c>
      <c r="B39" s="74">
        <v>20</v>
      </c>
      <c r="C39" s="25">
        <v>23</v>
      </c>
      <c r="D39" s="100">
        <v>49</v>
      </c>
      <c r="E39" s="100">
        <v>57.5</v>
      </c>
      <c r="G39"/>
    </row>
    <row r="40" spans="1:7" x14ac:dyDescent="0.25">
      <c r="A40" s="78">
        <v>40940</v>
      </c>
      <c r="B40" s="74">
        <v>7</v>
      </c>
      <c r="C40" s="25">
        <v>5</v>
      </c>
      <c r="D40" s="100">
        <v>63</v>
      </c>
      <c r="E40" s="100">
        <v>107</v>
      </c>
      <c r="G40"/>
    </row>
    <row r="41" spans="1:7" x14ac:dyDescent="0.25">
      <c r="A41" s="78">
        <v>40969</v>
      </c>
      <c r="B41" s="74">
        <v>16</v>
      </c>
      <c r="C41" s="25">
        <v>1</v>
      </c>
      <c r="D41" s="100">
        <v>144</v>
      </c>
      <c r="E41" s="100">
        <v>3470.4</v>
      </c>
      <c r="G41"/>
    </row>
    <row r="42" spans="1:7" x14ac:dyDescent="0.25">
      <c r="A42" s="78">
        <v>41000</v>
      </c>
      <c r="B42" s="74">
        <v>15</v>
      </c>
      <c r="C42" s="25">
        <v>6</v>
      </c>
      <c r="D42" s="100">
        <v>150</v>
      </c>
      <c r="E42" s="100">
        <v>1762.5</v>
      </c>
      <c r="G42"/>
    </row>
    <row r="43" spans="1:7" x14ac:dyDescent="0.25">
      <c r="A43" s="78">
        <v>41030</v>
      </c>
      <c r="B43" s="74">
        <v>20</v>
      </c>
      <c r="C43" s="25">
        <v>17</v>
      </c>
      <c r="D43" s="100">
        <v>222.5</v>
      </c>
      <c r="E43" s="100">
        <v>42.5</v>
      </c>
      <c r="G43"/>
    </row>
    <row r="44" spans="1:7" x14ac:dyDescent="0.25">
      <c r="A44" s="78">
        <v>41061</v>
      </c>
      <c r="B44" s="74">
        <v>8</v>
      </c>
      <c r="C44" s="25">
        <v>1</v>
      </c>
      <c r="D44" s="100">
        <v>108</v>
      </c>
      <c r="E44" s="100">
        <v>1222.9000000000001</v>
      </c>
      <c r="G44"/>
    </row>
    <row r="45" spans="1:7" x14ac:dyDescent="0.25">
      <c r="A45" s="78">
        <v>41091</v>
      </c>
      <c r="B45" s="74">
        <v>4</v>
      </c>
      <c r="C45" s="25">
        <v>8</v>
      </c>
      <c r="D45" s="100">
        <v>18</v>
      </c>
      <c r="E45" s="100">
        <v>221.4</v>
      </c>
      <c r="G45"/>
    </row>
    <row r="46" spans="1:7" x14ac:dyDescent="0.25">
      <c r="A46" s="78">
        <v>41122</v>
      </c>
      <c r="B46" s="74">
        <v>9</v>
      </c>
      <c r="C46" s="25">
        <v>19</v>
      </c>
      <c r="D46" s="100">
        <v>40.5</v>
      </c>
      <c r="E46" s="100">
        <v>128.5</v>
      </c>
      <c r="G46"/>
    </row>
    <row r="47" spans="1:7" x14ac:dyDescent="0.25">
      <c r="A47" s="78">
        <v>41153</v>
      </c>
      <c r="B47" s="74">
        <v>5</v>
      </c>
      <c r="C47" s="25">
        <v>33</v>
      </c>
      <c r="D47" s="100">
        <v>127.5</v>
      </c>
      <c r="E47" s="100">
        <v>1523.25</v>
      </c>
      <c r="G47"/>
    </row>
    <row r="48" spans="1:7" x14ac:dyDescent="0.25">
      <c r="A48" s="78">
        <v>41183</v>
      </c>
      <c r="B48" s="74">
        <v>16</v>
      </c>
      <c r="C48" s="25">
        <v>15</v>
      </c>
      <c r="D48" s="100">
        <v>72</v>
      </c>
      <c r="E48" s="100">
        <v>109.5</v>
      </c>
      <c r="G48"/>
    </row>
    <row r="49" spans="1:7" x14ac:dyDescent="0.25">
      <c r="A49" s="78">
        <v>41214</v>
      </c>
      <c r="B49" s="74">
        <v>14</v>
      </c>
      <c r="C49" s="25">
        <v>3</v>
      </c>
      <c r="D49" s="100">
        <v>63</v>
      </c>
      <c r="E49" s="100">
        <v>7.5</v>
      </c>
      <c r="G49"/>
    </row>
    <row r="50" spans="1:7" x14ac:dyDescent="0.25">
      <c r="A50" s="78">
        <v>41244</v>
      </c>
      <c r="B50" s="74">
        <v>13</v>
      </c>
      <c r="C50" s="25">
        <v>4</v>
      </c>
      <c r="D50" s="100">
        <v>175.5</v>
      </c>
      <c r="E50" s="100">
        <v>185.5</v>
      </c>
      <c r="G50"/>
    </row>
    <row r="51" spans="1:7" x14ac:dyDescent="0.25">
      <c r="A51" s="78">
        <v>41275</v>
      </c>
      <c r="B51" s="74">
        <v>13</v>
      </c>
      <c r="C51" s="25">
        <v>3</v>
      </c>
      <c r="D51" s="100">
        <v>117</v>
      </c>
      <c r="E51" s="100">
        <v>1322.1000000000001</v>
      </c>
      <c r="G51"/>
    </row>
    <row r="52" spans="1:7" x14ac:dyDescent="0.25">
      <c r="A52" s="78">
        <v>41306</v>
      </c>
      <c r="B52" s="74">
        <v>21</v>
      </c>
      <c r="C52" s="25">
        <v>15</v>
      </c>
      <c r="D52" s="100">
        <v>94.5</v>
      </c>
      <c r="E52" s="100">
        <v>2324.7000000000003</v>
      </c>
      <c r="G52"/>
    </row>
    <row r="53" spans="1:7" x14ac:dyDescent="0.25">
      <c r="A53" s="78">
        <v>41334</v>
      </c>
      <c r="B53" s="74">
        <v>10</v>
      </c>
      <c r="C53" s="25">
        <v>7</v>
      </c>
      <c r="D53" s="100">
        <v>107.5</v>
      </c>
      <c r="E53" s="100">
        <v>1322.25</v>
      </c>
      <c r="G53"/>
    </row>
    <row r="54" spans="1:7" x14ac:dyDescent="0.25">
      <c r="A54" s="78">
        <v>41365</v>
      </c>
      <c r="B54" s="74">
        <v>19</v>
      </c>
      <c r="C54" s="25">
        <v>12</v>
      </c>
      <c r="D54" s="100">
        <v>81</v>
      </c>
      <c r="E54" s="100">
        <v>115.5</v>
      </c>
      <c r="G54"/>
    </row>
    <row r="55" spans="1:7" x14ac:dyDescent="0.25">
      <c r="A55" s="78">
        <v>41395</v>
      </c>
      <c r="B55" s="74">
        <v>15</v>
      </c>
      <c r="C55" s="25">
        <v>11</v>
      </c>
      <c r="D55" s="100">
        <v>27.5</v>
      </c>
      <c r="E55" s="100">
        <v>784</v>
      </c>
      <c r="G55"/>
    </row>
    <row r="56" spans="1:7" x14ac:dyDescent="0.25">
      <c r="A56" s="78">
        <v>41426</v>
      </c>
      <c r="B56" s="74">
        <v>15</v>
      </c>
      <c r="C56" s="25">
        <v>11</v>
      </c>
      <c r="D56" s="100">
        <v>47</v>
      </c>
      <c r="E56" s="100">
        <v>202.5</v>
      </c>
      <c r="G56"/>
    </row>
    <row r="57" spans="1:7" x14ac:dyDescent="0.25">
      <c r="A57" s="78">
        <v>41456</v>
      </c>
      <c r="B57" s="74">
        <v>13</v>
      </c>
      <c r="C57" s="25">
        <v>3</v>
      </c>
      <c r="D57" s="100">
        <v>117</v>
      </c>
      <c r="E57" s="100">
        <v>2768.7000000000003</v>
      </c>
      <c r="G57"/>
    </row>
    <row r="58" spans="1:7" x14ac:dyDescent="0.25">
      <c r="A58" s="78">
        <v>41487</v>
      </c>
      <c r="B58" s="74">
        <v>12</v>
      </c>
      <c r="C58" s="25">
        <v>9</v>
      </c>
      <c r="D58" s="100">
        <v>130.5</v>
      </c>
      <c r="E58" s="100">
        <v>1474.65</v>
      </c>
      <c r="G58"/>
    </row>
    <row r="59" spans="1:7" x14ac:dyDescent="0.25">
      <c r="A59" s="78">
        <v>41518</v>
      </c>
      <c r="B59" s="74">
        <v>6</v>
      </c>
      <c r="C59" s="25">
        <v>0</v>
      </c>
      <c r="D59" s="100">
        <v>27</v>
      </c>
      <c r="E59" s="100">
        <v>305.10000000000002</v>
      </c>
      <c r="G59"/>
    </row>
    <row r="60" spans="1:7" x14ac:dyDescent="0.25">
      <c r="A60" s="78">
        <v>41548</v>
      </c>
      <c r="B60" s="74">
        <v>11</v>
      </c>
      <c r="C60" s="25">
        <v>6</v>
      </c>
      <c r="D60" s="100">
        <v>114</v>
      </c>
      <c r="E60" s="100">
        <v>2576.4</v>
      </c>
      <c r="G60"/>
    </row>
    <row r="61" spans="1:7" x14ac:dyDescent="0.25">
      <c r="A61" s="78">
        <v>41579</v>
      </c>
      <c r="B61" s="74">
        <v>15</v>
      </c>
      <c r="C61" s="25">
        <v>15</v>
      </c>
      <c r="D61" s="100">
        <v>135</v>
      </c>
      <c r="E61" s="100">
        <v>3253.5</v>
      </c>
      <c r="G61"/>
    </row>
    <row r="62" spans="1:7" x14ac:dyDescent="0.25">
      <c r="A62" s="78">
        <v>41609</v>
      </c>
      <c r="B62" s="74">
        <v>12</v>
      </c>
      <c r="C62" s="25">
        <v>8</v>
      </c>
      <c r="D62" s="100">
        <v>182</v>
      </c>
      <c r="E62" s="100">
        <v>4241.2</v>
      </c>
      <c r="G62"/>
    </row>
    <row r="63" spans="1:7" x14ac:dyDescent="0.25">
      <c r="A63" s="78">
        <v>41640</v>
      </c>
      <c r="B63" s="74">
        <v>5</v>
      </c>
      <c r="C63" s="25">
        <v>5</v>
      </c>
      <c r="D63" s="100">
        <v>35</v>
      </c>
      <c r="E63" s="100">
        <v>67.5</v>
      </c>
      <c r="G63"/>
    </row>
    <row r="64" spans="1:7" x14ac:dyDescent="0.25">
      <c r="A64" s="78">
        <v>41671</v>
      </c>
      <c r="B64" s="74">
        <v>18</v>
      </c>
      <c r="C64" s="25">
        <v>33</v>
      </c>
      <c r="D64" s="100">
        <v>162</v>
      </c>
      <c r="E64" s="100">
        <v>81</v>
      </c>
      <c r="G64"/>
    </row>
    <row r="65" spans="1:7" x14ac:dyDescent="0.25">
      <c r="A65" s="78">
        <v>41699</v>
      </c>
      <c r="B65" s="74">
        <v>14</v>
      </c>
      <c r="C65" s="25">
        <v>3</v>
      </c>
      <c r="D65" s="100">
        <v>133.5</v>
      </c>
      <c r="E65" s="100">
        <v>189</v>
      </c>
      <c r="G65"/>
    </row>
    <row r="66" spans="1:7" x14ac:dyDescent="0.25">
      <c r="A66" s="78">
        <v>41730</v>
      </c>
      <c r="B66" s="74">
        <v>5</v>
      </c>
      <c r="C66" s="25">
        <v>12</v>
      </c>
      <c r="D66" s="100">
        <v>75</v>
      </c>
      <c r="E66" s="100">
        <v>30</v>
      </c>
      <c r="G66"/>
    </row>
    <row r="67" spans="1:7" x14ac:dyDescent="0.25">
      <c r="A67" s="78">
        <v>41760</v>
      </c>
      <c r="B67" s="74">
        <v>10</v>
      </c>
      <c r="C67" s="25">
        <v>12</v>
      </c>
      <c r="D67" s="100">
        <v>45</v>
      </c>
      <c r="E67" s="100">
        <v>1152</v>
      </c>
      <c r="G67"/>
    </row>
    <row r="68" spans="1:7" x14ac:dyDescent="0.25">
      <c r="A68" s="78">
        <v>41791</v>
      </c>
      <c r="B68" s="74">
        <v>15</v>
      </c>
      <c r="C68" s="25">
        <v>7</v>
      </c>
      <c r="D68" s="100">
        <v>67.5</v>
      </c>
      <c r="E68" s="100">
        <v>1525.5</v>
      </c>
      <c r="G68"/>
    </row>
    <row r="69" spans="1:7" x14ac:dyDescent="0.25">
      <c r="A69" s="78">
        <v>41821</v>
      </c>
      <c r="B69" s="74">
        <v>19</v>
      </c>
      <c r="C69" s="25">
        <v>11</v>
      </c>
      <c r="D69" s="100">
        <v>27.5</v>
      </c>
      <c r="E69" s="100">
        <v>338.25</v>
      </c>
      <c r="G69"/>
    </row>
    <row r="70" spans="1:7" x14ac:dyDescent="0.25">
      <c r="A70" s="78">
        <v>41852</v>
      </c>
      <c r="B70" s="74">
        <v>17</v>
      </c>
      <c r="C70" s="25">
        <v>4</v>
      </c>
      <c r="D70" s="100">
        <v>86.5</v>
      </c>
      <c r="E70" s="100">
        <v>2117.9</v>
      </c>
      <c r="G70"/>
    </row>
    <row r="71" spans="1:7" x14ac:dyDescent="0.25">
      <c r="A71" s="78">
        <v>41883</v>
      </c>
      <c r="B71" s="74">
        <v>3</v>
      </c>
      <c r="C71" s="25">
        <v>15</v>
      </c>
      <c r="D71" s="100">
        <v>37.5</v>
      </c>
      <c r="E71" s="100">
        <v>861</v>
      </c>
      <c r="G71"/>
    </row>
    <row r="72" spans="1:7" x14ac:dyDescent="0.25">
      <c r="A72" s="78">
        <v>41913</v>
      </c>
      <c r="B72" s="74">
        <v>16</v>
      </c>
      <c r="C72" s="25">
        <v>26</v>
      </c>
      <c r="D72" s="100">
        <v>144</v>
      </c>
      <c r="E72" s="100">
        <v>1908.2</v>
      </c>
      <c r="G72"/>
    </row>
    <row r="73" spans="1:7" x14ac:dyDescent="0.25">
      <c r="A73" s="78">
        <v>41944</v>
      </c>
      <c r="B73" s="74">
        <v>8</v>
      </c>
      <c r="C73" s="25">
        <v>8</v>
      </c>
      <c r="D73" s="100">
        <v>39</v>
      </c>
      <c r="E73" s="100">
        <v>108</v>
      </c>
      <c r="G73"/>
    </row>
    <row r="74" spans="1:7" x14ac:dyDescent="0.25">
      <c r="A74" s="78">
        <v>41974</v>
      </c>
      <c r="B74" s="74">
        <v>4</v>
      </c>
      <c r="C74" s="25">
        <v>24</v>
      </c>
      <c r="D74" s="100">
        <v>78</v>
      </c>
      <c r="E74" s="100">
        <v>995.40000000000009</v>
      </c>
      <c r="G74"/>
    </row>
    <row r="75" spans="1:7" x14ac:dyDescent="0.25">
      <c r="A75" s="78">
        <v>42005</v>
      </c>
      <c r="B75" s="74">
        <v>20</v>
      </c>
      <c r="C75" s="25">
        <v>11</v>
      </c>
      <c r="D75" s="100">
        <v>90</v>
      </c>
      <c r="E75" s="100">
        <v>2151.5</v>
      </c>
      <c r="G75"/>
    </row>
    <row r="76" spans="1:7" x14ac:dyDescent="0.25">
      <c r="A76" s="78">
        <v>42036</v>
      </c>
      <c r="B76" s="74">
        <v>21</v>
      </c>
      <c r="C76" s="25">
        <v>6</v>
      </c>
      <c r="D76" s="100">
        <v>109.5</v>
      </c>
      <c r="E76" s="100">
        <v>2773.2000000000003</v>
      </c>
      <c r="G76"/>
    </row>
    <row r="77" spans="1:7" x14ac:dyDescent="0.25">
      <c r="A77" s="78">
        <v>42064</v>
      </c>
      <c r="B77" s="74">
        <v>3</v>
      </c>
      <c r="C77" s="25">
        <v>1</v>
      </c>
      <c r="D77" s="100">
        <v>27</v>
      </c>
      <c r="E77" s="100">
        <v>348.1</v>
      </c>
      <c r="G77"/>
    </row>
    <row r="78" spans="1:7" x14ac:dyDescent="0.25">
      <c r="A78" s="78">
        <v>42095</v>
      </c>
      <c r="B78" s="74">
        <v>12</v>
      </c>
      <c r="C78" s="25">
        <v>16</v>
      </c>
      <c r="D78" s="100">
        <v>40</v>
      </c>
      <c r="E78" s="100">
        <v>234</v>
      </c>
      <c r="G78"/>
    </row>
    <row r="79" spans="1:7" x14ac:dyDescent="0.25">
      <c r="A79" s="78">
        <v>42125</v>
      </c>
      <c r="B79" s="74">
        <v>20</v>
      </c>
      <c r="C79" s="25">
        <v>28</v>
      </c>
      <c r="D79" s="100">
        <v>160</v>
      </c>
      <c r="E79" s="100">
        <v>2148</v>
      </c>
      <c r="G79"/>
    </row>
    <row r="80" spans="1:7" x14ac:dyDescent="0.25">
      <c r="A80" s="78">
        <v>42156</v>
      </c>
      <c r="B80" s="74">
        <v>4</v>
      </c>
      <c r="C80" s="25">
        <v>11</v>
      </c>
      <c r="D80" s="100">
        <v>18</v>
      </c>
      <c r="E80" s="100">
        <v>203.4</v>
      </c>
      <c r="G80"/>
    </row>
    <row r="81" spans="1:7" x14ac:dyDescent="0.25">
      <c r="A81" s="78">
        <v>42186</v>
      </c>
      <c r="B81" s="74">
        <v>15</v>
      </c>
      <c r="C81" s="25">
        <v>4</v>
      </c>
      <c r="D81" s="100">
        <v>67.5</v>
      </c>
      <c r="E81" s="100">
        <v>975.25</v>
      </c>
      <c r="G81"/>
    </row>
    <row r="82" spans="1:7" x14ac:dyDescent="0.25">
      <c r="A82" s="78">
        <v>42217</v>
      </c>
      <c r="B82" s="74">
        <v>16</v>
      </c>
      <c r="C82" s="25">
        <v>22</v>
      </c>
      <c r="D82" s="100">
        <v>144</v>
      </c>
      <c r="E82" s="100">
        <v>3381.4</v>
      </c>
      <c r="G82"/>
    </row>
    <row r="83" spans="1:7" x14ac:dyDescent="0.25">
      <c r="A83" s="78">
        <v>42248</v>
      </c>
      <c r="B83" s="74">
        <v>17</v>
      </c>
      <c r="C83" s="25">
        <v>28</v>
      </c>
      <c r="D83" s="100">
        <v>76.5</v>
      </c>
      <c r="E83" s="100">
        <v>76.5</v>
      </c>
      <c r="G83"/>
    </row>
    <row r="84" spans="1:7" x14ac:dyDescent="0.25">
      <c r="A84" s="78">
        <v>42278</v>
      </c>
      <c r="B84" s="74">
        <v>16</v>
      </c>
      <c r="C84" s="25">
        <v>3</v>
      </c>
      <c r="D84" s="100">
        <v>151.5</v>
      </c>
      <c r="E84" s="100">
        <v>1855.95</v>
      </c>
      <c r="G84"/>
    </row>
    <row r="85" spans="1:7" x14ac:dyDescent="0.25">
      <c r="A85" s="78">
        <v>42309</v>
      </c>
      <c r="B85" s="74">
        <v>5</v>
      </c>
      <c r="C85" s="25">
        <v>19</v>
      </c>
      <c r="D85" s="100">
        <v>22.5</v>
      </c>
      <c r="E85" s="100">
        <v>299.25</v>
      </c>
      <c r="G85"/>
    </row>
    <row r="86" spans="1:7" x14ac:dyDescent="0.25">
      <c r="A86" s="78">
        <v>42339</v>
      </c>
      <c r="B86" s="74">
        <v>13</v>
      </c>
      <c r="C86" s="25">
        <v>13</v>
      </c>
      <c r="D86" s="100">
        <v>175.5</v>
      </c>
      <c r="E86" s="100">
        <v>2132.65</v>
      </c>
      <c r="G86"/>
    </row>
    <row r="87" spans="1:7" x14ac:dyDescent="0.25">
      <c r="A87" s="78">
        <v>42370</v>
      </c>
      <c r="B87" s="74">
        <v>6</v>
      </c>
      <c r="C87" s="25">
        <v>26</v>
      </c>
      <c r="D87" s="100">
        <v>54</v>
      </c>
      <c r="E87" s="100">
        <v>27</v>
      </c>
      <c r="G87"/>
    </row>
    <row r="88" spans="1:7" x14ac:dyDescent="0.25">
      <c r="A88" s="78">
        <v>42401</v>
      </c>
      <c r="B88" s="74">
        <v>15</v>
      </c>
      <c r="C88" s="25">
        <v>14</v>
      </c>
      <c r="D88" s="100">
        <v>202.5</v>
      </c>
      <c r="E88" s="100">
        <v>4746.5</v>
      </c>
      <c r="G88"/>
    </row>
    <row r="89" spans="1:7" x14ac:dyDescent="0.25">
      <c r="A89" s="78">
        <v>42430</v>
      </c>
      <c r="B89" s="74">
        <v>7</v>
      </c>
      <c r="C89" s="25">
        <v>4</v>
      </c>
      <c r="D89" s="100">
        <v>94.5</v>
      </c>
      <c r="E89" s="100">
        <v>73</v>
      </c>
      <c r="G89"/>
    </row>
    <row r="90" spans="1:7" x14ac:dyDescent="0.25">
      <c r="A90" s="78">
        <v>42461</v>
      </c>
      <c r="B90" s="74">
        <v>14</v>
      </c>
      <c r="C90" s="25">
        <v>13</v>
      </c>
      <c r="D90" s="100">
        <v>126</v>
      </c>
      <c r="E90" s="100">
        <v>3006.1000000000004</v>
      </c>
      <c r="G90"/>
    </row>
    <row r="91" spans="1:7" x14ac:dyDescent="0.25">
      <c r="A91" s="78">
        <v>42491</v>
      </c>
      <c r="B91" s="74">
        <v>18</v>
      </c>
      <c r="C91" s="25">
        <v>22</v>
      </c>
      <c r="D91" s="100">
        <v>162</v>
      </c>
      <c r="E91" s="100">
        <v>2047.6000000000001</v>
      </c>
      <c r="G91"/>
    </row>
    <row r="92" spans="1:7" x14ac:dyDescent="0.25">
      <c r="A92" s="78">
        <v>42522</v>
      </c>
      <c r="B92" s="74">
        <v>9</v>
      </c>
      <c r="C92" s="25">
        <v>7</v>
      </c>
      <c r="D92" s="100">
        <v>121.5</v>
      </c>
      <c r="E92" s="100">
        <v>121.5</v>
      </c>
      <c r="G92"/>
    </row>
    <row r="93" spans="1:7" x14ac:dyDescent="0.25">
      <c r="A93" s="78">
        <v>42552</v>
      </c>
      <c r="B93" s="74">
        <v>11</v>
      </c>
      <c r="C93" s="25">
        <v>13</v>
      </c>
      <c r="D93" s="100">
        <v>181</v>
      </c>
      <c r="E93" s="100">
        <v>32.5</v>
      </c>
      <c r="G93"/>
    </row>
    <row r="94" spans="1:7" x14ac:dyDescent="0.25">
      <c r="A94" s="78">
        <v>42583</v>
      </c>
      <c r="B94" s="74">
        <v>10</v>
      </c>
      <c r="C94" s="25">
        <v>21</v>
      </c>
      <c r="D94" s="100">
        <v>91</v>
      </c>
      <c r="E94" s="100">
        <v>170</v>
      </c>
      <c r="G94"/>
    </row>
    <row r="95" spans="1:7" x14ac:dyDescent="0.25">
      <c r="A95" s="78">
        <v>42614</v>
      </c>
      <c r="B95" s="74">
        <v>3</v>
      </c>
      <c r="C95" s="25">
        <v>6</v>
      </c>
      <c r="D95" s="100">
        <v>15</v>
      </c>
      <c r="E95" s="100">
        <v>184.5</v>
      </c>
      <c r="G95"/>
    </row>
    <row r="96" spans="1:7" x14ac:dyDescent="0.25">
      <c r="A96" s="78">
        <v>42644</v>
      </c>
      <c r="B96" s="74">
        <v>10</v>
      </c>
      <c r="C96" s="25">
        <v>23</v>
      </c>
      <c r="D96" s="100">
        <v>192.5</v>
      </c>
      <c r="E96" s="100">
        <v>102.5</v>
      </c>
      <c r="G96"/>
    </row>
    <row r="97" spans="1:7" x14ac:dyDescent="0.25">
      <c r="A97" s="78">
        <v>42675</v>
      </c>
      <c r="B97" s="74">
        <v>14</v>
      </c>
      <c r="C97" s="25">
        <v>8</v>
      </c>
      <c r="D97" s="100">
        <v>20</v>
      </c>
      <c r="E97" s="100">
        <v>246</v>
      </c>
      <c r="G97"/>
    </row>
    <row r="98" spans="1:7" x14ac:dyDescent="0.25">
      <c r="A98" s="78">
        <v>42705</v>
      </c>
      <c r="B98" s="74">
        <v>21</v>
      </c>
      <c r="C98" s="25">
        <v>11</v>
      </c>
      <c r="D98" s="100">
        <v>216.5</v>
      </c>
      <c r="E98" s="100">
        <v>5176.4000000000005</v>
      </c>
      <c r="G98"/>
    </row>
    <row r="99" spans="1:7" x14ac:dyDescent="0.25">
      <c r="A99" s="78">
        <v>42736</v>
      </c>
      <c r="B99" s="74">
        <v>22</v>
      </c>
      <c r="C99" s="25">
        <v>2</v>
      </c>
      <c r="D99" s="100">
        <v>203</v>
      </c>
      <c r="E99" s="100">
        <v>2298.9</v>
      </c>
      <c r="G99"/>
    </row>
    <row r="100" spans="1:7" x14ac:dyDescent="0.25">
      <c r="A100" s="78">
        <v>42767</v>
      </c>
      <c r="B100" s="74">
        <v>21</v>
      </c>
      <c r="C100" s="25">
        <v>16</v>
      </c>
      <c r="D100" s="100">
        <v>189</v>
      </c>
      <c r="E100" s="100">
        <v>323.5</v>
      </c>
      <c r="G100"/>
    </row>
    <row r="101" spans="1:7" x14ac:dyDescent="0.25">
      <c r="A101" s="78">
        <v>42795</v>
      </c>
      <c r="B101" s="74">
        <v>14</v>
      </c>
      <c r="C101" s="25">
        <v>17</v>
      </c>
      <c r="D101" s="100">
        <v>63</v>
      </c>
      <c r="E101" s="100">
        <v>1612.8000000000002</v>
      </c>
      <c r="G101"/>
    </row>
    <row r="102" spans="1:7" x14ac:dyDescent="0.25">
      <c r="A102" s="78">
        <v>42826</v>
      </c>
      <c r="B102" s="74">
        <v>15</v>
      </c>
      <c r="C102" s="25">
        <v>4</v>
      </c>
      <c r="D102" s="100">
        <v>202.5</v>
      </c>
      <c r="E102" s="100">
        <v>135</v>
      </c>
      <c r="G102"/>
    </row>
    <row r="103" spans="1:7" x14ac:dyDescent="0.25">
      <c r="A103" s="78">
        <v>42856</v>
      </c>
      <c r="B103" s="74">
        <v>14</v>
      </c>
      <c r="C103" s="25">
        <v>24</v>
      </c>
      <c r="D103" s="100">
        <v>63</v>
      </c>
      <c r="E103" s="100">
        <v>186</v>
      </c>
      <c r="G103"/>
    </row>
    <row r="104" spans="1:7" x14ac:dyDescent="0.25">
      <c r="A104" s="78">
        <v>42887</v>
      </c>
      <c r="B104" s="74">
        <v>14</v>
      </c>
      <c r="C104" s="25">
        <v>35</v>
      </c>
      <c r="D104" s="100">
        <v>189</v>
      </c>
      <c r="E104" s="100">
        <v>2223.2000000000003</v>
      </c>
      <c r="G104"/>
    </row>
    <row r="105" spans="1:7" x14ac:dyDescent="0.25">
      <c r="A105" s="78">
        <v>42917</v>
      </c>
      <c r="B105" s="74">
        <v>10</v>
      </c>
      <c r="C105" s="25">
        <v>9</v>
      </c>
      <c r="D105" s="100">
        <v>67.5</v>
      </c>
      <c r="E105" s="100">
        <v>135</v>
      </c>
      <c r="G105"/>
    </row>
    <row r="106" spans="1:7" x14ac:dyDescent="0.25">
      <c r="A106" s="78">
        <v>42948</v>
      </c>
      <c r="B106" s="74">
        <v>5</v>
      </c>
      <c r="C106" s="25">
        <v>2</v>
      </c>
      <c r="D106" s="100">
        <v>45</v>
      </c>
      <c r="E106" s="100">
        <v>531</v>
      </c>
      <c r="G106"/>
    </row>
    <row r="107" spans="1:7" x14ac:dyDescent="0.25">
      <c r="A107" s="78">
        <v>42979</v>
      </c>
      <c r="B107" s="74">
        <v>21</v>
      </c>
      <c r="C107" s="25">
        <v>30</v>
      </c>
      <c r="D107" s="100">
        <v>283.5</v>
      </c>
      <c r="E107" s="100">
        <v>358.5</v>
      </c>
      <c r="G107"/>
    </row>
    <row r="108" spans="1:7" x14ac:dyDescent="0.25">
      <c r="A108" s="78">
        <v>43009</v>
      </c>
      <c r="B108" s="74">
        <v>19</v>
      </c>
      <c r="C108" s="25">
        <v>3</v>
      </c>
      <c r="D108" s="100">
        <v>171</v>
      </c>
      <c r="E108" s="100">
        <v>171</v>
      </c>
      <c r="G108"/>
    </row>
    <row r="109" spans="1:7" x14ac:dyDescent="0.25">
      <c r="A109" s="78">
        <v>43040</v>
      </c>
      <c r="B109" s="74">
        <v>12</v>
      </c>
      <c r="C109" s="25">
        <v>4</v>
      </c>
      <c r="D109" s="100">
        <v>64</v>
      </c>
      <c r="E109" s="100">
        <v>1618.4</v>
      </c>
      <c r="G109"/>
    </row>
    <row r="110" spans="1:7" x14ac:dyDescent="0.25">
      <c r="A110" s="78">
        <v>43070</v>
      </c>
      <c r="B110" s="74">
        <v>11</v>
      </c>
      <c r="C110" s="25">
        <v>32</v>
      </c>
      <c r="D110" s="100">
        <v>228.5</v>
      </c>
      <c r="E110" s="100">
        <v>129.5</v>
      </c>
      <c r="G110"/>
    </row>
    <row r="111" spans="1:7" x14ac:dyDescent="0.25">
      <c r="A111" s="78">
        <v>43101</v>
      </c>
      <c r="B111" s="74">
        <v>13</v>
      </c>
      <c r="C111" s="25">
        <v>42</v>
      </c>
      <c r="D111" s="100">
        <v>105</v>
      </c>
      <c r="E111" s="100">
        <v>1350</v>
      </c>
      <c r="G111"/>
    </row>
    <row r="112" spans="1:7" x14ac:dyDescent="0.25">
      <c r="A112" s="78">
        <v>43132</v>
      </c>
      <c r="B112" s="74">
        <v>16</v>
      </c>
      <c r="C112" s="25">
        <v>9</v>
      </c>
      <c r="D112" s="100">
        <v>238.5</v>
      </c>
      <c r="E112" s="100">
        <v>22.5</v>
      </c>
      <c r="G112"/>
    </row>
    <row r="113" spans="1:7" x14ac:dyDescent="0.25">
      <c r="A113" s="78">
        <v>43160</v>
      </c>
      <c r="B113" s="74">
        <v>5</v>
      </c>
      <c r="C113" s="25">
        <v>9</v>
      </c>
      <c r="D113" s="100">
        <v>90</v>
      </c>
      <c r="E113" s="100">
        <v>1062</v>
      </c>
      <c r="G113"/>
    </row>
    <row r="114" spans="1:7" x14ac:dyDescent="0.25">
      <c r="A114" s="78">
        <v>43191</v>
      </c>
      <c r="B114" s="74">
        <v>11</v>
      </c>
      <c r="C114" s="25">
        <v>8</v>
      </c>
      <c r="D114" s="100">
        <v>49.5</v>
      </c>
      <c r="E114" s="100">
        <v>1138.7</v>
      </c>
      <c r="G114"/>
    </row>
    <row r="115" spans="1:7" x14ac:dyDescent="0.25">
      <c r="A115" s="78">
        <v>43221</v>
      </c>
      <c r="B115" s="74">
        <v>14</v>
      </c>
      <c r="C115" s="25">
        <v>6</v>
      </c>
      <c r="D115" s="100">
        <v>63</v>
      </c>
      <c r="E115" s="100">
        <v>63</v>
      </c>
      <c r="G115"/>
    </row>
    <row r="116" spans="1:7" x14ac:dyDescent="0.25">
      <c r="A116" s="78">
        <v>43252</v>
      </c>
      <c r="B116" s="74">
        <v>11</v>
      </c>
      <c r="C116" s="25">
        <v>20</v>
      </c>
      <c r="D116" s="100">
        <v>99</v>
      </c>
      <c r="E116" s="100">
        <v>2336.9</v>
      </c>
      <c r="G116"/>
    </row>
    <row r="117" spans="1:7" x14ac:dyDescent="0.25">
      <c r="A117" s="78">
        <v>43282</v>
      </c>
      <c r="B117" s="74">
        <v>11</v>
      </c>
      <c r="C117" s="25">
        <v>14</v>
      </c>
      <c r="D117" s="100">
        <v>35</v>
      </c>
      <c r="E117" s="100">
        <v>875.5</v>
      </c>
      <c r="G117"/>
    </row>
    <row r="118" spans="1:7" x14ac:dyDescent="0.25">
      <c r="A118" s="78">
        <v>43313</v>
      </c>
      <c r="B118" s="74">
        <v>19</v>
      </c>
      <c r="C118" s="25">
        <v>30</v>
      </c>
      <c r="D118" s="100">
        <v>331.5</v>
      </c>
      <c r="E118" s="100">
        <v>3745.9500000000003</v>
      </c>
      <c r="G118"/>
    </row>
    <row r="119" spans="1:7" x14ac:dyDescent="0.25">
      <c r="A119" s="78">
        <v>43344</v>
      </c>
      <c r="B119" s="74">
        <v>20</v>
      </c>
      <c r="C119" s="25">
        <v>7</v>
      </c>
      <c r="D119" s="100">
        <v>121</v>
      </c>
      <c r="E119" s="100">
        <v>197.5</v>
      </c>
      <c r="G119"/>
    </row>
    <row r="120" spans="1:7" x14ac:dyDescent="0.25">
      <c r="A120" s="78">
        <v>43374</v>
      </c>
      <c r="B120" s="74">
        <v>10</v>
      </c>
      <c r="C120" s="25">
        <v>12</v>
      </c>
      <c r="D120" s="100">
        <v>75</v>
      </c>
      <c r="E120" s="100">
        <v>45</v>
      </c>
      <c r="G120"/>
    </row>
    <row r="121" spans="1:7" x14ac:dyDescent="0.25">
      <c r="A121" s="78">
        <v>43405</v>
      </c>
      <c r="B121" s="74">
        <v>19</v>
      </c>
      <c r="C121" s="25">
        <v>9</v>
      </c>
      <c r="D121" s="100">
        <v>171</v>
      </c>
      <c r="E121" s="100">
        <v>193.5</v>
      </c>
      <c r="G121"/>
    </row>
    <row r="122" spans="1:7" x14ac:dyDescent="0.25">
      <c r="A122" s="78">
        <v>43435</v>
      </c>
      <c r="B122" s="74">
        <v>20</v>
      </c>
      <c r="C122" s="25">
        <v>10</v>
      </c>
      <c r="D122" s="100">
        <v>90</v>
      </c>
      <c r="E122" s="100">
        <v>180</v>
      </c>
      <c r="G122"/>
    </row>
    <row r="123" spans="1:7" x14ac:dyDescent="0.25">
      <c r="A123" s="78">
        <v>43466</v>
      </c>
      <c r="B123" s="74">
        <v>22</v>
      </c>
      <c r="C123" s="25">
        <v>17</v>
      </c>
      <c r="D123" s="100">
        <v>198</v>
      </c>
      <c r="E123" s="100">
        <v>141.5</v>
      </c>
      <c r="G123"/>
    </row>
    <row r="124" spans="1:7" x14ac:dyDescent="0.25">
      <c r="A124" s="78">
        <v>43497</v>
      </c>
      <c r="B124" s="74">
        <v>17</v>
      </c>
      <c r="C124" s="25">
        <v>30</v>
      </c>
      <c r="D124" s="100">
        <v>153</v>
      </c>
      <c r="E124" s="100">
        <v>75</v>
      </c>
      <c r="G124"/>
    </row>
    <row r="125" spans="1:7" x14ac:dyDescent="0.25">
      <c r="A125" s="78">
        <v>43525</v>
      </c>
      <c r="B125" s="74">
        <v>5</v>
      </c>
      <c r="C125" s="25">
        <v>42</v>
      </c>
      <c r="D125" s="100">
        <v>105</v>
      </c>
      <c r="E125" s="100">
        <v>1231.5</v>
      </c>
      <c r="G125"/>
    </row>
    <row r="126" spans="1:7" x14ac:dyDescent="0.25">
      <c r="A126" s="78">
        <v>43556</v>
      </c>
      <c r="B126" s="74">
        <v>10</v>
      </c>
      <c r="C126" s="25">
        <v>14</v>
      </c>
      <c r="D126" s="100">
        <v>45</v>
      </c>
      <c r="E126" s="100">
        <v>1107</v>
      </c>
      <c r="G126"/>
    </row>
    <row r="127" spans="1:7" x14ac:dyDescent="0.25">
      <c r="A127" s="78">
        <v>43586</v>
      </c>
      <c r="B127" s="74">
        <v>21</v>
      </c>
      <c r="C127" s="25">
        <v>5</v>
      </c>
      <c r="D127" s="100">
        <v>107</v>
      </c>
      <c r="E127" s="100">
        <v>430</v>
      </c>
      <c r="G127"/>
    </row>
    <row r="128" spans="1:7" x14ac:dyDescent="0.25">
      <c r="A128" s="78">
        <v>43617</v>
      </c>
      <c r="B128" s="74">
        <v>15</v>
      </c>
      <c r="C128" s="25">
        <v>40</v>
      </c>
      <c r="D128" s="100">
        <v>135</v>
      </c>
      <c r="E128" s="100">
        <v>1625.5</v>
      </c>
      <c r="G128"/>
    </row>
    <row r="129" spans="1:7" x14ac:dyDescent="0.25">
      <c r="A129" s="78">
        <v>43647</v>
      </c>
      <c r="B129" s="74">
        <v>16</v>
      </c>
      <c r="C129" s="25">
        <v>4</v>
      </c>
      <c r="D129" s="100">
        <v>154</v>
      </c>
      <c r="E129" s="100">
        <v>1812.2</v>
      </c>
      <c r="G129"/>
    </row>
    <row r="130" spans="1:7" x14ac:dyDescent="0.25">
      <c r="A130" s="78">
        <v>43678</v>
      </c>
      <c r="B130" s="74">
        <v>22</v>
      </c>
      <c r="C130" s="25">
        <v>15</v>
      </c>
      <c r="D130" s="100">
        <v>235.5</v>
      </c>
      <c r="E130" s="100">
        <v>2661.15</v>
      </c>
      <c r="G130"/>
    </row>
    <row r="131" spans="1:7" x14ac:dyDescent="0.25">
      <c r="A131" s="78">
        <v>43709</v>
      </c>
      <c r="B131" s="74">
        <v>8</v>
      </c>
      <c r="C131" s="25">
        <v>6</v>
      </c>
      <c r="D131" s="100">
        <v>36</v>
      </c>
      <c r="E131" s="100">
        <v>936.6</v>
      </c>
      <c r="G131"/>
    </row>
    <row r="132" spans="1:7" x14ac:dyDescent="0.25">
      <c r="A132" s="78">
        <v>43739</v>
      </c>
      <c r="B132" s="74">
        <v>17</v>
      </c>
      <c r="C132" s="25">
        <v>14</v>
      </c>
      <c r="D132" s="100">
        <v>153</v>
      </c>
      <c r="E132" s="100">
        <v>35</v>
      </c>
      <c r="G132"/>
    </row>
    <row r="133" spans="1:7" x14ac:dyDescent="0.25">
      <c r="A133" s="78"/>
      <c r="B133" s="74"/>
      <c r="C133" s="75"/>
      <c r="D133" s="75"/>
      <c r="G133"/>
    </row>
    <row r="134" spans="1:7" x14ac:dyDescent="0.25">
      <c r="A134" s="78"/>
      <c r="B134" s="74"/>
      <c r="C134" s="75"/>
      <c r="D134" s="75"/>
      <c r="G134"/>
    </row>
    <row r="135" spans="1:7" x14ac:dyDescent="0.25">
      <c r="A135" s="78"/>
      <c r="B135" s="74"/>
      <c r="C135" s="75"/>
      <c r="D135" s="75"/>
      <c r="G135"/>
    </row>
    <row r="136" spans="1:7" x14ac:dyDescent="0.25">
      <c r="A136" s="78"/>
      <c r="B136" s="74"/>
      <c r="C136" s="75"/>
      <c r="D136" s="75"/>
      <c r="G136"/>
    </row>
    <row r="137" spans="1:7" x14ac:dyDescent="0.25">
      <c r="A137" s="78"/>
      <c r="B137" s="74"/>
      <c r="C137" s="75"/>
      <c r="D137" s="75"/>
      <c r="G137"/>
    </row>
    <row r="138" spans="1:7" x14ac:dyDescent="0.25">
      <c r="A138" s="78"/>
      <c r="B138" s="74"/>
      <c r="C138" s="75"/>
      <c r="D138" s="75"/>
      <c r="G138"/>
    </row>
    <row r="139" spans="1:7" x14ac:dyDescent="0.25">
      <c r="A139" s="78"/>
      <c r="B139" s="74"/>
      <c r="C139" s="75"/>
      <c r="D139" s="75"/>
      <c r="G139"/>
    </row>
    <row r="140" spans="1:7" x14ac:dyDescent="0.25">
      <c r="A140" s="78"/>
      <c r="B140" s="74"/>
      <c r="C140" s="75"/>
      <c r="D140" s="75"/>
      <c r="G140"/>
    </row>
    <row r="141" spans="1:7" x14ac:dyDescent="0.25">
      <c r="A141" s="78"/>
      <c r="B141" s="74"/>
      <c r="C141" s="75"/>
      <c r="D141" s="75"/>
      <c r="G141"/>
    </row>
    <row r="142" spans="1:7" x14ac:dyDescent="0.25">
      <c r="A142" s="78"/>
      <c r="B142" s="74"/>
      <c r="C142" s="75"/>
      <c r="D142" s="75"/>
      <c r="G142"/>
    </row>
    <row r="143" spans="1:7" x14ac:dyDescent="0.25">
      <c r="A143" s="78"/>
      <c r="B143" s="74"/>
      <c r="C143" s="75"/>
      <c r="D143" s="75"/>
      <c r="G143"/>
    </row>
    <row r="144" spans="1:7" x14ac:dyDescent="0.25">
      <c r="A144" s="78"/>
      <c r="B144" s="74"/>
      <c r="C144" s="75"/>
      <c r="D144" s="75"/>
      <c r="G144"/>
    </row>
    <row r="145" spans="2:4" x14ac:dyDescent="0.25">
      <c r="B145" s="74"/>
      <c r="C145" s="76"/>
      <c r="D145" s="75"/>
    </row>
    <row r="146" spans="2:4" x14ac:dyDescent="0.25">
      <c r="B146" s="74"/>
      <c r="C146" s="76"/>
      <c r="D146" s="75"/>
    </row>
    <row r="147" spans="2:4" x14ac:dyDescent="0.25">
      <c r="B147" s="74"/>
      <c r="C147" s="76"/>
      <c r="D147" s="75"/>
    </row>
    <row r="148" spans="2:4" x14ac:dyDescent="0.25">
      <c r="B148" s="74"/>
      <c r="C148" s="76"/>
      <c r="D148" s="75"/>
    </row>
    <row r="149" spans="2:4" x14ac:dyDescent="0.25">
      <c r="B149" s="74"/>
      <c r="C149" s="76"/>
      <c r="D149" s="75"/>
    </row>
    <row r="150" spans="2:4" x14ac:dyDescent="0.25">
      <c r="B150" s="74"/>
      <c r="C150" s="76"/>
      <c r="D150" s="75"/>
    </row>
    <row r="151" spans="2:4" x14ac:dyDescent="0.25">
      <c r="B151" s="74"/>
      <c r="C151" s="76"/>
      <c r="D151" s="75"/>
    </row>
    <row r="152" spans="2:4" x14ac:dyDescent="0.25">
      <c r="C152" s="76"/>
      <c r="D152" s="75"/>
    </row>
    <row r="153" spans="2:4" x14ac:dyDescent="0.25">
      <c r="C153" s="76"/>
      <c r="D153" s="75"/>
    </row>
    <row r="154" spans="2:4" x14ac:dyDescent="0.25">
      <c r="C154" s="76"/>
      <c r="D154" s="75"/>
    </row>
    <row r="155" spans="2:4" x14ac:dyDescent="0.25">
      <c r="C155" s="76"/>
      <c r="D155" s="75"/>
    </row>
    <row r="156" spans="2:4" x14ac:dyDescent="0.25">
      <c r="C156" s="76"/>
      <c r="D156" s="75"/>
    </row>
    <row r="157" spans="2:4" x14ac:dyDescent="0.25">
      <c r="C157" s="76"/>
      <c r="D157" s="75"/>
    </row>
    <row r="158" spans="2:4" x14ac:dyDescent="0.25">
      <c r="C158" s="76"/>
      <c r="D158" s="75"/>
    </row>
    <row r="159" spans="2:4" x14ac:dyDescent="0.25">
      <c r="C159" s="76"/>
      <c r="D159" s="75"/>
    </row>
    <row r="160" spans="2:4" x14ac:dyDescent="0.25">
      <c r="C160" s="76"/>
      <c r="D160" s="75"/>
    </row>
    <row r="161" spans="3:4" x14ac:dyDescent="0.25">
      <c r="C161" s="76"/>
      <c r="D161" s="75"/>
    </row>
    <row r="162" spans="3:4" x14ac:dyDescent="0.25">
      <c r="C162" s="76"/>
      <c r="D162" s="75"/>
    </row>
    <row r="163" spans="3:4" x14ac:dyDescent="0.25">
      <c r="C163" s="76"/>
      <c r="D163" s="75"/>
    </row>
    <row r="164" spans="3:4" x14ac:dyDescent="0.25">
      <c r="C164" s="76"/>
      <c r="D164" s="75"/>
    </row>
    <row r="165" spans="3:4" x14ac:dyDescent="0.25">
      <c r="C165" s="76"/>
      <c r="D165" s="75"/>
    </row>
    <row r="166" spans="3:4" x14ac:dyDescent="0.25">
      <c r="C166" s="76"/>
      <c r="D166" s="75"/>
    </row>
    <row r="167" spans="3:4" x14ac:dyDescent="0.25">
      <c r="C167" s="76"/>
      <c r="D167" s="75"/>
    </row>
    <row r="168" spans="3:4" x14ac:dyDescent="0.25">
      <c r="C168" s="76"/>
      <c r="D168" s="75"/>
    </row>
    <row r="169" spans="3:4" x14ac:dyDescent="0.25">
      <c r="C169" s="76"/>
      <c r="D169" s="75"/>
    </row>
    <row r="170" spans="3:4" x14ac:dyDescent="0.25">
      <c r="C170" s="76"/>
      <c r="D170" s="75"/>
    </row>
    <row r="171" spans="3:4" x14ac:dyDescent="0.25">
      <c r="C171" s="76"/>
      <c r="D171" s="75"/>
    </row>
    <row r="172" spans="3:4" x14ac:dyDescent="0.25">
      <c r="C172" s="76"/>
      <c r="D172" s="75"/>
    </row>
    <row r="173" spans="3:4" x14ac:dyDescent="0.25">
      <c r="C173" s="76"/>
      <c r="D173" s="75"/>
    </row>
    <row r="174" spans="3:4" x14ac:dyDescent="0.25">
      <c r="C174" s="76"/>
      <c r="D174" s="75"/>
    </row>
    <row r="175" spans="3:4" x14ac:dyDescent="0.25">
      <c r="C175" s="76"/>
      <c r="D175" s="75"/>
    </row>
    <row r="176" spans="3:4" x14ac:dyDescent="0.25">
      <c r="D176" s="75"/>
    </row>
    <row r="177" spans="4:4" x14ac:dyDescent="0.25">
      <c r="D177" s="75"/>
    </row>
    <row r="178" spans="4:4" x14ac:dyDescent="0.25">
      <c r="D178" s="75"/>
    </row>
    <row r="179" spans="4:4" x14ac:dyDescent="0.25">
      <c r="D179" s="75"/>
    </row>
    <row r="180" spans="4:4" x14ac:dyDescent="0.25">
      <c r="D180" s="75"/>
    </row>
    <row r="181" spans="4:4" x14ac:dyDescent="0.25">
      <c r="D181" s="75"/>
    </row>
    <row r="182" spans="4:4" x14ac:dyDescent="0.25">
      <c r="D182" s="75"/>
    </row>
    <row r="183" spans="4:4" x14ac:dyDescent="0.25">
      <c r="D183" s="75"/>
    </row>
    <row r="184" spans="4:4" x14ac:dyDescent="0.25">
      <c r="D184" s="75"/>
    </row>
    <row r="185" spans="4:4" x14ac:dyDescent="0.25">
      <c r="D185" s="75"/>
    </row>
    <row r="186" spans="4:4" x14ac:dyDescent="0.25">
      <c r="D186" s="75"/>
    </row>
    <row r="187" spans="4:4" x14ac:dyDescent="0.25">
      <c r="D187" s="75"/>
    </row>
    <row r="188" spans="4:4" x14ac:dyDescent="0.25">
      <c r="D188" s="75"/>
    </row>
    <row r="189" spans="4:4" x14ac:dyDescent="0.25">
      <c r="D189" s="75"/>
    </row>
    <row r="190" spans="4:4" x14ac:dyDescent="0.25">
      <c r="D190" s="75"/>
    </row>
    <row r="191" spans="4:4" x14ac:dyDescent="0.25">
      <c r="D191" s="75"/>
    </row>
  </sheetData>
  <mergeCells count="1">
    <mergeCell ref="B1:E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2"/>
  <sheetViews>
    <sheetView workbookViewId="0">
      <selection activeCell="F4" sqref="F4"/>
    </sheetView>
  </sheetViews>
  <sheetFormatPr defaultColWidth="20.7109375" defaultRowHeight="15" x14ac:dyDescent="0.25"/>
  <cols>
    <col min="1" max="16384" width="20.7109375" style="25"/>
  </cols>
  <sheetData>
    <row r="1" spans="1:4" ht="15.75" thickBot="1" x14ac:dyDescent="0.3">
      <c r="A1" s="77"/>
      <c r="B1" s="156" t="s">
        <v>184</v>
      </c>
      <c r="C1" s="157"/>
      <c r="D1" s="157"/>
    </row>
    <row r="2" spans="1:4" x14ac:dyDescent="0.25">
      <c r="A2" s="77"/>
      <c r="B2" s="43" t="s">
        <v>145</v>
      </c>
      <c r="C2" s="43" t="s">
        <v>146</v>
      </c>
      <c r="D2" s="43" t="s">
        <v>173</v>
      </c>
    </row>
    <row r="3" spans="1:4" x14ac:dyDescent="0.25">
      <c r="A3" s="78">
        <v>39814</v>
      </c>
      <c r="B3" s="101">
        <v>829.71692873860525</v>
      </c>
      <c r="C3" s="101">
        <v>198.67210518232824</v>
      </c>
      <c r="D3" s="25">
        <v>5</v>
      </c>
    </row>
    <row r="4" spans="1:4" x14ac:dyDescent="0.25">
      <c r="A4" s="78">
        <v>39845</v>
      </c>
      <c r="B4" s="101">
        <v>4175.6749079491601</v>
      </c>
      <c r="C4" s="101">
        <v>1528.4964708743307</v>
      </c>
      <c r="D4" s="25">
        <v>5</v>
      </c>
    </row>
    <row r="5" spans="1:4" x14ac:dyDescent="0.25">
      <c r="A5" s="78">
        <v>39873</v>
      </c>
      <c r="B5" s="101">
        <v>588.70195642660462</v>
      </c>
      <c r="C5" s="101">
        <v>12.582947507765729</v>
      </c>
      <c r="D5" s="25">
        <v>5</v>
      </c>
    </row>
    <row r="6" spans="1:4" x14ac:dyDescent="0.25">
      <c r="A6" s="78">
        <v>39904</v>
      </c>
      <c r="B6" s="101">
        <v>517.61619442129336</v>
      </c>
      <c r="C6" s="101">
        <v>148.25348997176991</v>
      </c>
      <c r="D6" s="25">
        <v>5</v>
      </c>
    </row>
    <row r="7" spans="1:4" x14ac:dyDescent="0.25">
      <c r="A7" s="78">
        <v>39934</v>
      </c>
      <c r="B7" s="101">
        <v>6610.6713554983544</v>
      </c>
      <c r="C7" s="101">
        <v>9179.9785814937568</v>
      </c>
      <c r="D7" s="25">
        <v>5</v>
      </c>
    </row>
    <row r="8" spans="1:4" x14ac:dyDescent="0.25">
      <c r="A8" s="78">
        <v>39965</v>
      </c>
      <c r="B8" s="101">
        <v>311.80254102993035</v>
      </c>
      <c r="C8" s="101">
        <v>38.363076882693164</v>
      </c>
      <c r="D8" s="25">
        <v>5</v>
      </c>
    </row>
    <row r="9" spans="1:4" x14ac:dyDescent="0.25">
      <c r="A9" s="78">
        <v>39995</v>
      </c>
      <c r="B9" s="101">
        <v>1198.955230839101</v>
      </c>
      <c r="C9" s="101">
        <v>184.80909928039321</v>
      </c>
      <c r="D9" s="25">
        <v>5</v>
      </c>
    </row>
    <row r="10" spans="1:4" x14ac:dyDescent="0.25">
      <c r="A10" s="78">
        <v>40026</v>
      </c>
      <c r="B10" s="101">
        <v>772.40153365230231</v>
      </c>
      <c r="C10" s="101">
        <v>602.09975060002273</v>
      </c>
      <c r="D10" s="25">
        <v>5</v>
      </c>
    </row>
    <row r="11" spans="1:4" x14ac:dyDescent="0.25">
      <c r="A11" s="78">
        <v>40057</v>
      </c>
      <c r="B11" s="101">
        <v>832.11015124330015</v>
      </c>
      <c r="C11" s="101">
        <v>69.311535484680263</v>
      </c>
      <c r="D11" s="25">
        <v>5</v>
      </c>
    </row>
    <row r="12" spans="1:4" x14ac:dyDescent="0.25">
      <c r="A12" s="78">
        <v>40087</v>
      </c>
      <c r="B12" s="101">
        <v>2774.8667624771788</v>
      </c>
      <c r="C12" s="101">
        <v>1859.1943322142974</v>
      </c>
      <c r="D12" s="25">
        <v>5</v>
      </c>
    </row>
    <row r="13" spans="1:4" x14ac:dyDescent="0.25">
      <c r="A13" s="78">
        <v>40118</v>
      </c>
      <c r="B13" s="101">
        <v>381.74885654302449</v>
      </c>
      <c r="C13" s="101">
        <v>799.32419816890911</v>
      </c>
      <c r="D13" s="25">
        <v>5</v>
      </c>
    </row>
    <row r="14" spans="1:4" x14ac:dyDescent="0.25">
      <c r="A14" s="78">
        <v>40148</v>
      </c>
      <c r="B14" s="101">
        <v>14984.336673363548</v>
      </c>
      <c r="C14" s="101">
        <v>2121.2669894951187</v>
      </c>
      <c r="D14" s="25">
        <v>5</v>
      </c>
    </row>
    <row r="15" spans="1:4" x14ac:dyDescent="0.25">
      <c r="A15" s="78">
        <v>40179</v>
      </c>
      <c r="B15" s="101">
        <v>394.9048106168396</v>
      </c>
      <c r="C15" s="101">
        <v>45.281444394472928</v>
      </c>
      <c r="D15" s="25">
        <v>5</v>
      </c>
    </row>
    <row r="16" spans="1:4" x14ac:dyDescent="0.25">
      <c r="A16" s="78">
        <v>40210</v>
      </c>
      <c r="B16" s="101">
        <v>745.7519399260691</v>
      </c>
      <c r="C16" s="101">
        <v>198.29902139962704</v>
      </c>
      <c r="D16" s="25">
        <v>5</v>
      </c>
    </row>
    <row r="17" spans="1:4" x14ac:dyDescent="0.25">
      <c r="A17" s="78">
        <v>40238</v>
      </c>
      <c r="B17" s="101">
        <v>2236.0348718887271</v>
      </c>
      <c r="C17" s="101">
        <v>771.45717842239787</v>
      </c>
      <c r="D17" s="25">
        <v>5</v>
      </c>
    </row>
    <row r="18" spans="1:4" x14ac:dyDescent="0.25">
      <c r="A18" s="78">
        <v>40269</v>
      </c>
      <c r="B18" s="101">
        <v>874.99453936930809</v>
      </c>
      <c r="C18" s="101">
        <v>90.622407256904623</v>
      </c>
      <c r="D18" s="25">
        <v>5</v>
      </c>
    </row>
    <row r="19" spans="1:4" x14ac:dyDescent="0.25">
      <c r="A19" s="78">
        <v>40299</v>
      </c>
      <c r="B19" s="101">
        <v>317.64819324701762</v>
      </c>
      <c r="C19" s="101">
        <v>49.849657520005913</v>
      </c>
      <c r="D19" s="25">
        <v>5</v>
      </c>
    </row>
    <row r="20" spans="1:4" x14ac:dyDescent="0.25">
      <c r="A20" s="78">
        <v>40330</v>
      </c>
      <c r="B20" s="101">
        <v>1017.1784446581881</v>
      </c>
      <c r="C20" s="101">
        <v>225.20582527152587</v>
      </c>
      <c r="D20" s="25">
        <v>5</v>
      </c>
    </row>
    <row r="21" spans="1:4" x14ac:dyDescent="0.25">
      <c r="A21" s="78">
        <v>40360</v>
      </c>
      <c r="B21" s="101">
        <v>3448.3554514163802</v>
      </c>
      <c r="C21" s="101">
        <v>5839.2522802400472</v>
      </c>
      <c r="D21" s="25">
        <v>5</v>
      </c>
    </row>
    <row r="22" spans="1:4" x14ac:dyDescent="0.25">
      <c r="A22" s="78">
        <v>40391</v>
      </c>
      <c r="B22" s="101">
        <v>479.31089285701631</v>
      </c>
      <c r="C22" s="101">
        <v>302.44420192075711</v>
      </c>
      <c r="D22" s="25">
        <v>5</v>
      </c>
    </row>
    <row r="23" spans="1:4" x14ac:dyDescent="0.25">
      <c r="A23" s="78">
        <v>40422</v>
      </c>
      <c r="B23" s="101">
        <v>2524.0260305524253</v>
      </c>
      <c r="C23" s="101">
        <v>566.55531018142688</v>
      </c>
      <c r="D23" s="25">
        <v>5</v>
      </c>
    </row>
    <row r="24" spans="1:4" x14ac:dyDescent="0.25">
      <c r="A24" s="78">
        <v>40452</v>
      </c>
      <c r="B24" s="101">
        <v>1776.8535004833079</v>
      </c>
      <c r="C24" s="101">
        <v>1382.8096908528364</v>
      </c>
      <c r="D24" s="25">
        <v>5</v>
      </c>
    </row>
    <row r="25" spans="1:4" x14ac:dyDescent="0.25">
      <c r="A25" s="78">
        <v>40483</v>
      </c>
      <c r="B25" s="101">
        <v>2446.6925193825728</v>
      </c>
      <c r="C25" s="101">
        <v>4829.0827511425578</v>
      </c>
      <c r="D25" s="25">
        <v>5</v>
      </c>
    </row>
    <row r="26" spans="1:4" x14ac:dyDescent="0.25">
      <c r="A26" s="78">
        <v>40513</v>
      </c>
      <c r="B26" s="101">
        <v>1821.4753896560173</v>
      </c>
      <c r="C26" s="101">
        <v>1086.5523677378635</v>
      </c>
      <c r="D26" s="25">
        <v>5</v>
      </c>
    </row>
    <row r="27" spans="1:4" x14ac:dyDescent="0.25">
      <c r="A27" s="78">
        <v>40544</v>
      </c>
      <c r="B27" s="101">
        <v>1396.1482908834705</v>
      </c>
      <c r="C27" s="101">
        <v>683.64547857399589</v>
      </c>
      <c r="D27" s="25">
        <v>5</v>
      </c>
    </row>
    <row r="28" spans="1:4" x14ac:dyDescent="0.25">
      <c r="A28" s="78">
        <v>40575</v>
      </c>
      <c r="B28" s="101">
        <v>5105.4128503538695</v>
      </c>
      <c r="C28" s="101">
        <v>4665.9563132001058</v>
      </c>
      <c r="D28" s="25">
        <v>5</v>
      </c>
    </row>
    <row r="29" spans="1:4" x14ac:dyDescent="0.25">
      <c r="A29" s="78">
        <v>40603</v>
      </c>
      <c r="B29" s="101">
        <v>7075.1567534704882</v>
      </c>
      <c r="C29" s="101">
        <v>2915.1926768470848</v>
      </c>
      <c r="D29" s="25">
        <v>5</v>
      </c>
    </row>
    <row r="30" spans="1:4" x14ac:dyDescent="0.25">
      <c r="A30" s="78">
        <v>40634</v>
      </c>
      <c r="B30" s="101">
        <v>634.8596417497871</v>
      </c>
      <c r="C30" s="101">
        <v>238.68127723630383</v>
      </c>
      <c r="D30" s="25">
        <v>5</v>
      </c>
    </row>
    <row r="31" spans="1:4" x14ac:dyDescent="0.25">
      <c r="A31" s="78">
        <v>40664</v>
      </c>
      <c r="B31" s="101">
        <v>185.32335406143551</v>
      </c>
      <c r="C31" s="101">
        <v>85.413989668972846</v>
      </c>
      <c r="D31" s="25">
        <v>5</v>
      </c>
    </row>
    <row r="32" spans="1:4" x14ac:dyDescent="0.25">
      <c r="A32" s="78">
        <v>40695</v>
      </c>
      <c r="B32" s="101">
        <v>485.92343539175317</v>
      </c>
      <c r="C32" s="101">
        <v>107.910104458017</v>
      </c>
      <c r="D32" s="25">
        <v>5</v>
      </c>
    </row>
    <row r="33" spans="1:4" x14ac:dyDescent="0.25">
      <c r="A33" s="78">
        <v>40725</v>
      </c>
      <c r="B33" s="101">
        <v>625.57433731776598</v>
      </c>
      <c r="C33" s="101">
        <v>31.875547639731508</v>
      </c>
      <c r="D33" s="25">
        <v>5</v>
      </c>
    </row>
    <row r="34" spans="1:4" x14ac:dyDescent="0.25">
      <c r="A34" s="78">
        <v>40756</v>
      </c>
      <c r="B34" s="101">
        <v>267.08210324909669</v>
      </c>
      <c r="C34" s="101">
        <v>10.028861013349093</v>
      </c>
      <c r="D34" s="25">
        <v>5</v>
      </c>
    </row>
    <row r="35" spans="1:4" x14ac:dyDescent="0.25">
      <c r="A35" s="78">
        <v>40787</v>
      </c>
      <c r="B35" s="101">
        <v>696</v>
      </c>
      <c r="C35" s="101">
        <v>11.877657975220107</v>
      </c>
      <c r="D35" s="25">
        <v>5</v>
      </c>
    </row>
    <row r="36" spans="1:4" x14ac:dyDescent="0.25">
      <c r="A36" s="78">
        <v>40817</v>
      </c>
      <c r="B36" s="101">
        <v>1275.0027892407079</v>
      </c>
      <c r="C36" s="101">
        <v>358.8390192141166</v>
      </c>
      <c r="D36" s="25">
        <v>5</v>
      </c>
    </row>
    <row r="37" spans="1:4" x14ac:dyDescent="0.25">
      <c r="A37" s="78">
        <v>40848</v>
      </c>
      <c r="B37" s="101">
        <v>3942.8183145220924</v>
      </c>
      <c r="C37" s="101">
        <v>1613.8891972518022</v>
      </c>
      <c r="D37" s="25">
        <v>6</v>
      </c>
    </row>
    <row r="38" spans="1:4" x14ac:dyDescent="0.25">
      <c r="A38" s="78">
        <v>40878</v>
      </c>
      <c r="B38" s="101">
        <v>708.32042697485099</v>
      </c>
      <c r="C38" s="101">
        <v>1275.4022360024055</v>
      </c>
      <c r="D38" s="25">
        <v>6</v>
      </c>
    </row>
    <row r="39" spans="1:4" x14ac:dyDescent="0.25">
      <c r="A39" s="78">
        <v>40909</v>
      </c>
      <c r="B39" s="101">
        <v>321.69876912845433</v>
      </c>
      <c r="C39" s="101">
        <v>57.939340649187194</v>
      </c>
      <c r="D39" s="25">
        <v>6</v>
      </c>
    </row>
    <row r="40" spans="1:4" x14ac:dyDescent="0.25">
      <c r="A40" s="78">
        <v>40940</v>
      </c>
      <c r="B40" s="101">
        <v>322.49483004807428</v>
      </c>
      <c r="C40" s="101">
        <v>83.684782314474546</v>
      </c>
      <c r="D40" s="25">
        <v>6</v>
      </c>
    </row>
    <row r="41" spans="1:4" x14ac:dyDescent="0.25">
      <c r="A41" s="78">
        <v>40969</v>
      </c>
      <c r="B41" s="101">
        <v>2068.8032795422623</v>
      </c>
      <c r="C41" s="101">
        <v>3511.3472704757964</v>
      </c>
      <c r="D41" s="25">
        <v>6</v>
      </c>
    </row>
    <row r="42" spans="1:4" x14ac:dyDescent="0.25">
      <c r="A42" s="78">
        <v>41000</v>
      </c>
      <c r="B42" s="101">
        <v>919.60694838076461</v>
      </c>
      <c r="C42" s="101">
        <v>714.13789675694227</v>
      </c>
      <c r="D42" s="25">
        <v>6</v>
      </c>
    </row>
    <row r="43" spans="1:4" x14ac:dyDescent="0.25">
      <c r="A43" s="78">
        <v>41030</v>
      </c>
      <c r="B43" s="101">
        <v>1188.7541483540981</v>
      </c>
      <c r="C43" s="101">
        <v>238.59064535661315</v>
      </c>
      <c r="D43" s="25">
        <v>6</v>
      </c>
    </row>
    <row r="44" spans="1:4" x14ac:dyDescent="0.25">
      <c r="A44" s="78">
        <v>41061</v>
      </c>
      <c r="B44" s="101">
        <v>764.86587612219864</v>
      </c>
      <c r="C44" s="101">
        <v>1018.8098241559837</v>
      </c>
      <c r="D44" s="25">
        <v>6</v>
      </c>
    </row>
    <row r="45" spans="1:4" x14ac:dyDescent="0.25">
      <c r="A45" s="78">
        <v>41091</v>
      </c>
      <c r="B45" s="101">
        <v>785.22128554466349</v>
      </c>
      <c r="C45" s="101">
        <v>46.712971724515647</v>
      </c>
      <c r="D45" s="25">
        <v>6</v>
      </c>
    </row>
    <row r="46" spans="1:4" x14ac:dyDescent="0.25">
      <c r="A46" s="78">
        <v>41122</v>
      </c>
      <c r="B46" s="101">
        <v>784.82643165106367</v>
      </c>
      <c r="C46" s="101">
        <v>183.1732781180477</v>
      </c>
      <c r="D46" s="25">
        <v>6</v>
      </c>
    </row>
    <row r="47" spans="1:4" x14ac:dyDescent="0.25">
      <c r="A47" s="78">
        <v>41153</v>
      </c>
      <c r="B47" s="101">
        <v>1490.6519134737223</v>
      </c>
      <c r="C47" s="101">
        <v>612.74999438524287</v>
      </c>
      <c r="D47" s="25">
        <v>6</v>
      </c>
    </row>
    <row r="48" spans="1:4" x14ac:dyDescent="0.25">
      <c r="A48" s="78">
        <v>41183</v>
      </c>
      <c r="B48" s="101">
        <v>579.01259941574517</v>
      </c>
      <c r="C48" s="101">
        <v>116.02021890172526</v>
      </c>
      <c r="D48" s="25">
        <v>6</v>
      </c>
    </row>
    <row r="49" spans="1:4" x14ac:dyDescent="0.25">
      <c r="A49" s="78">
        <v>41214</v>
      </c>
      <c r="B49" s="101">
        <v>232.26458492867584</v>
      </c>
      <c r="C49" s="101">
        <v>9.8447698971345705</v>
      </c>
      <c r="D49" s="25">
        <v>6</v>
      </c>
    </row>
    <row r="50" spans="1:4" x14ac:dyDescent="0.25">
      <c r="A50" s="78">
        <v>41244</v>
      </c>
      <c r="B50" s="101">
        <v>509.10347964373125</v>
      </c>
      <c r="C50" s="101">
        <v>284.74992961074133</v>
      </c>
      <c r="D50" s="25">
        <v>6</v>
      </c>
    </row>
    <row r="51" spans="1:4" x14ac:dyDescent="0.25">
      <c r="A51" s="78">
        <v>41275</v>
      </c>
      <c r="B51" s="101">
        <v>2160.9485937180621</v>
      </c>
      <c r="C51" s="101">
        <v>573.36827479687122</v>
      </c>
      <c r="D51" s="25">
        <v>6</v>
      </c>
    </row>
    <row r="52" spans="1:4" x14ac:dyDescent="0.25">
      <c r="A52" s="78">
        <v>41306</v>
      </c>
      <c r="B52" s="101">
        <v>1677.977326158107</v>
      </c>
      <c r="C52" s="101">
        <v>497.14871129512937</v>
      </c>
      <c r="D52" s="25">
        <v>6</v>
      </c>
    </row>
    <row r="53" spans="1:4" x14ac:dyDescent="0.25">
      <c r="A53" s="78">
        <v>41334</v>
      </c>
      <c r="B53" s="101">
        <v>2050.8393673294486</v>
      </c>
      <c r="C53" s="101">
        <v>545.74203055462817</v>
      </c>
      <c r="D53" s="25">
        <v>6</v>
      </c>
    </row>
    <row r="54" spans="1:4" x14ac:dyDescent="0.25">
      <c r="A54" s="78">
        <v>41365</v>
      </c>
      <c r="B54" s="101">
        <v>611.28041588665769</v>
      </c>
      <c r="C54" s="101">
        <v>92.520506651150555</v>
      </c>
      <c r="D54" s="25">
        <v>6</v>
      </c>
    </row>
    <row r="55" spans="1:4" x14ac:dyDescent="0.25">
      <c r="A55" s="78">
        <v>41395</v>
      </c>
      <c r="B55" s="101">
        <v>1151.1446783518552</v>
      </c>
      <c r="C55" s="101">
        <v>1579.0162082609302</v>
      </c>
      <c r="D55" s="25">
        <v>6</v>
      </c>
    </row>
    <row r="56" spans="1:4" x14ac:dyDescent="0.25">
      <c r="A56" s="78">
        <v>41426</v>
      </c>
      <c r="B56" s="101">
        <v>137.07602191769524</v>
      </c>
      <c r="C56" s="101">
        <v>203.49161950528841</v>
      </c>
      <c r="D56" s="25">
        <v>6</v>
      </c>
    </row>
    <row r="57" spans="1:4" x14ac:dyDescent="0.25">
      <c r="A57" s="78">
        <v>41456</v>
      </c>
      <c r="B57" s="101">
        <v>2744.7231490215577</v>
      </c>
      <c r="C57" s="101">
        <v>577.64569792977659</v>
      </c>
      <c r="D57" s="25">
        <v>5</v>
      </c>
    </row>
    <row r="58" spans="1:4" x14ac:dyDescent="0.25">
      <c r="A58" s="78">
        <v>41487</v>
      </c>
      <c r="B58" s="101">
        <v>2060.4514114961398</v>
      </c>
      <c r="C58" s="101">
        <v>332.39314837907989</v>
      </c>
      <c r="D58" s="25">
        <v>5</v>
      </c>
    </row>
    <row r="59" spans="1:4" x14ac:dyDescent="0.25">
      <c r="A59" s="78">
        <v>41518</v>
      </c>
      <c r="B59" s="101">
        <v>133.99918616327051</v>
      </c>
      <c r="C59" s="101">
        <v>256.27260793776952</v>
      </c>
      <c r="D59" s="25">
        <v>5</v>
      </c>
    </row>
    <row r="60" spans="1:4" x14ac:dyDescent="0.25">
      <c r="A60" s="78">
        <v>41548</v>
      </c>
      <c r="B60" s="101">
        <v>1901.9557904588005</v>
      </c>
      <c r="C60" s="101">
        <v>3101.8804895050548</v>
      </c>
      <c r="D60" s="25">
        <v>5</v>
      </c>
    </row>
    <row r="61" spans="1:4" x14ac:dyDescent="0.25">
      <c r="A61" s="78">
        <v>41579</v>
      </c>
      <c r="B61" s="101">
        <v>2770.3535945496465</v>
      </c>
      <c r="C61" s="101">
        <v>1319.1293229252587</v>
      </c>
      <c r="D61" s="25">
        <v>5</v>
      </c>
    </row>
    <row r="62" spans="1:4" x14ac:dyDescent="0.25">
      <c r="A62" s="78">
        <v>41609</v>
      </c>
      <c r="B62" s="101">
        <v>8646.9594956163983</v>
      </c>
      <c r="C62" s="101">
        <v>5182.0791774179506</v>
      </c>
      <c r="D62" s="25">
        <v>5</v>
      </c>
    </row>
    <row r="63" spans="1:4" x14ac:dyDescent="0.25">
      <c r="A63" s="78">
        <v>41640</v>
      </c>
      <c r="B63" s="101">
        <v>352.31146942151059</v>
      </c>
      <c r="C63" s="101">
        <v>27.268919588592848</v>
      </c>
      <c r="D63" s="25">
        <v>5</v>
      </c>
    </row>
    <row r="64" spans="1:4" x14ac:dyDescent="0.25">
      <c r="A64" s="78">
        <v>41671</v>
      </c>
      <c r="B64" s="101">
        <v>790.8593390103108</v>
      </c>
      <c r="C64" s="101">
        <v>102.89063102299401</v>
      </c>
      <c r="D64" s="25">
        <v>5</v>
      </c>
    </row>
    <row r="65" spans="1:4" x14ac:dyDescent="0.25">
      <c r="A65" s="78">
        <v>41699</v>
      </c>
      <c r="B65" s="101">
        <v>481.21863429629468</v>
      </c>
      <c r="C65" s="101">
        <v>101.62363726465055</v>
      </c>
      <c r="D65" s="25">
        <v>5</v>
      </c>
    </row>
    <row r="66" spans="1:4" x14ac:dyDescent="0.25">
      <c r="A66" s="78">
        <v>41730</v>
      </c>
      <c r="B66" s="101">
        <v>489.56592170690561</v>
      </c>
      <c r="C66" s="101">
        <v>19.682267878619044</v>
      </c>
      <c r="D66" s="25">
        <v>5</v>
      </c>
    </row>
    <row r="67" spans="1:4" x14ac:dyDescent="0.25">
      <c r="A67" s="78">
        <v>41760</v>
      </c>
      <c r="B67" s="101">
        <v>1701.5744339755056</v>
      </c>
      <c r="C67" s="101">
        <v>1389.8736402427228</v>
      </c>
      <c r="D67" s="25">
        <v>5</v>
      </c>
    </row>
    <row r="68" spans="1:4" x14ac:dyDescent="0.25">
      <c r="A68" s="78">
        <v>41791</v>
      </c>
      <c r="B68" s="101">
        <v>1522.038590588279</v>
      </c>
      <c r="C68" s="101">
        <v>1252.3719876315422</v>
      </c>
      <c r="D68" s="25">
        <v>5</v>
      </c>
    </row>
    <row r="69" spans="1:4" x14ac:dyDescent="0.25">
      <c r="A69" s="78">
        <v>41821</v>
      </c>
      <c r="B69" s="101">
        <v>715.26011333828819</v>
      </c>
      <c r="C69" s="101">
        <v>417.87142507831305</v>
      </c>
      <c r="D69" s="25">
        <v>5</v>
      </c>
    </row>
    <row r="70" spans="1:4" x14ac:dyDescent="0.25">
      <c r="A70" s="78">
        <v>41852</v>
      </c>
      <c r="B70" s="101">
        <v>1894.5189403916038</v>
      </c>
      <c r="C70" s="101">
        <v>1280.2809793986651</v>
      </c>
      <c r="D70" s="25">
        <v>5</v>
      </c>
    </row>
    <row r="71" spans="1:4" x14ac:dyDescent="0.25">
      <c r="A71" s="78">
        <v>41883</v>
      </c>
      <c r="B71" s="101">
        <v>983.60743156186777</v>
      </c>
      <c r="C71" s="101">
        <v>179.1575138381105</v>
      </c>
      <c r="D71" s="25">
        <v>5</v>
      </c>
    </row>
    <row r="72" spans="1:4" x14ac:dyDescent="0.25">
      <c r="A72" s="78">
        <v>41913</v>
      </c>
      <c r="B72" s="101">
        <v>1490.2928725825705</v>
      </c>
      <c r="C72" s="101">
        <v>1637.4842779515507</v>
      </c>
      <c r="D72" s="25">
        <v>5</v>
      </c>
    </row>
    <row r="73" spans="1:4" x14ac:dyDescent="0.25">
      <c r="A73" s="78">
        <v>41944</v>
      </c>
      <c r="B73" s="101">
        <v>198.00330002186246</v>
      </c>
      <c r="C73" s="101">
        <v>43.35735392523442</v>
      </c>
      <c r="D73" s="25">
        <v>5</v>
      </c>
    </row>
    <row r="74" spans="1:4" x14ac:dyDescent="0.25">
      <c r="A74" s="78">
        <v>41974</v>
      </c>
      <c r="B74" s="101">
        <v>1650.7997194986274</v>
      </c>
      <c r="C74" s="101">
        <v>801.17344025091722</v>
      </c>
      <c r="D74" s="25">
        <v>5</v>
      </c>
    </row>
    <row r="75" spans="1:4" x14ac:dyDescent="0.25">
      <c r="A75" s="78">
        <v>42005</v>
      </c>
      <c r="B75" s="101">
        <v>708.74560405220859</v>
      </c>
      <c r="C75" s="101">
        <v>437.93299734446435</v>
      </c>
      <c r="D75" s="25">
        <v>4</v>
      </c>
    </row>
    <row r="76" spans="1:4" x14ac:dyDescent="0.25">
      <c r="A76" s="78">
        <v>42036</v>
      </c>
      <c r="B76" s="101">
        <v>5784.2166292417169</v>
      </c>
      <c r="C76" s="101">
        <v>561.73625134028543</v>
      </c>
      <c r="D76" s="25">
        <v>4</v>
      </c>
    </row>
    <row r="77" spans="1:4" x14ac:dyDescent="0.25">
      <c r="A77" s="78">
        <v>42064</v>
      </c>
      <c r="B77" s="101">
        <v>341.12144457673321</v>
      </c>
      <c r="C77" s="101">
        <v>71.649088351212214</v>
      </c>
      <c r="D77" s="25">
        <v>4</v>
      </c>
    </row>
    <row r="78" spans="1:4" x14ac:dyDescent="0.25">
      <c r="A78" s="78">
        <v>42095</v>
      </c>
      <c r="B78" s="101">
        <v>672</v>
      </c>
      <c r="C78" s="101">
        <v>19.533173744071753</v>
      </c>
      <c r="D78" s="25">
        <v>4</v>
      </c>
    </row>
    <row r="79" spans="1:4" x14ac:dyDescent="0.25">
      <c r="A79" s="78">
        <v>42125</v>
      </c>
      <c r="B79" s="101">
        <v>1794.2138110272392</v>
      </c>
      <c r="C79" s="101">
        <v>975.70939110013319</v>
      </c>
      <c r="D79" s="25">
        <v>4</v>
      </c>
    </row>
    <row r="80" spans="1:4" x14ac:dyDescent="0.25">
      <c r="A80" s="78">
        <v>42156</v>
      </c>
      <c r="B80" s="101">
        <v>602.98386229579592</v>
      </c>
      <c r="C80" s="101">
        <v>94.259520625161429</v>
      </c>
      <c r="D80" s="25">
        <v>5</v>
      </c>
    </row>
    <row r="81" spans="1:4" x14ac:dyDescent="0.25">
      <c r="A81" s="78">
        <v>42186</v>
      </c>
      <c r="B81" s="101">
        <v>1580.0164093606131</v>
      </c>
      <c r="C81" s="101">
        <v>814.11308139182529</v>
      </c>
      <c r="D81" s="25">
        <v>5</v>
      </c>
    </row>
    <row r="82" spans="1:4" x14ac:dyDescent="0.25">
      <c r="A82" s="78">
        <v>42217</v>
      </c>
      <c r="B82" s="101">
        <v>3122.0944826939794</v>
      </c>
      <c r="C82" s="101">
        <v>1359.7778714665133</v>
      </c>
      <c r="D82" s="25">
        <v>5</v>
      </c>
    </row>
    <row r="83" spans="1:4" x14ac:dyDescent="0.25">
      <c r="A83" s="78">
        <v>42248</v>
      </c>
      <c r="B83" s="101">
        <v>1248.6829318962027</v>
      </c>
      <c r="C83" s="101">
        <v>27.089161608139573</v>
      </c>
      <c r="D83" s="25">
        <v>5</v>
      </c>
    </row>
    <row r="84" spans="1:4" x14ac:dyDescent="0.25">
      <c r="A84" s="78">
        <v>42278</v>
      </c>
      <c r="B84" s="101">
        <v>1368.4043539978788</v>
      </c>
      <c r="C84" s="101">
        <v>3850.0183094309855</v>
      </c>
      <c r="D84" s="25">
        <v>6</v>
      </c>
    </row>
    <row r="85" spans="1:4" x14ac:dyDescent="0.25">
      <c r="A85" s="78">
        <v>42309</v>
      </c>
      <c r="B85" s="101">
        <v>1404.752806088954</v>
      </c>
      <c r="C85" s="101">
        <v>340.61547302566186</v>
      </c>
      <c r="D85" s="25">
        <v>6</v>
      </c>
    </row>
    <row r="86" spans="1:4" x14ac:dyDescent="0.25">
      <c r="A86" s="78">
        <v>42339</v>
      </c>
      <c r="B86" s="101">
        <v>2562.5751075525736</v>
      </c>
      <c r="C86" s="101">
        <v>3479.129820574457</v>
      </c>
      <c r="D86" s="25">
        <v>6</v>
      </c>
    </row>
    <row r="87" spans="1:4" x14ac:dyDescent="0.25">
      <c r="A87" s="78">
        <v>42370</v>
      </c>
      <c r="B87" s="101">
        <v>599.79923799402104</v>
      </c>
      <c r="C87" s="101">
        <v>62.122421143724829</v>
      </c>
      <c r="D87" s="25">
        <v>6</v>
      </c>
    </row>
    <row r="88" spans="1:4" x14ac:dyDescent="0.25">
      <c r="A88" s="78">
        <v>42401</v>
      </c>
      <c r="B88" s="101">
        <v>2373.4870590072064</v>
      </c>
      <c r="C88" s="101">
        <v>5779.6991161395517</v>
      </c>
      <c r="D88" s="25">
        <v>4</v>
      </c>
    </row>
    <row r="89" spans="1:4" x14ac:dyDescent="0.25">
      <c r="A89" s="78">
        <v>42430</v>
      </c>
      <c r="B89" s="101">
        <v>175.70471565050622</v>
      </c>
      <c r="C89" s="101">
        <v>38.879344332942928</v>
      </c>
      <c r="D89" s="25">
        <v>4</v>
      </c>
    </row>
    <row r="90" spans="1:4" x14ac:dyDescent="0.25">
      <c r="A90" s="78">
        <v>42461</v>
      </c>
      <c r="B90" s="101">
        <v>3903.6982876890188</v>
      </c>
      <c r="C90" s="101">
        <v>2437.8507605018958</v>
      </c>
      <c r="D90" s="25">
        <v>4</v>
      </c>
    </row>
    <row r="91" spans="1:4" x14ac:dyDescent="0.25">
      <c r="A91" s="78">
        <v>42491</v>
      </c>
      <c r="B91" s="101">
        <v>1866.5363450480556</v>
      </c>
      <c r="C91" s="101">
        <v>848.39768261134941</v>
      </c>
      <c r="D91" s="25">
        <v>4</v>
      </c>
    </row>
    <row r="92" spans="1:4" x14ac:dyDescent="0.25">
      <c r="A92" s="78">
        <v>42522</v>
      </c>
      <c r="B92" s="101">
        <v>356.10738962780056</v>
      </c>
      <c r="C92" s="101">
        <v>205.17127157149216</v>
      </c>
      <c r="D92" s="25">
        <v>4</v>
      </c>
    </row>
    <row r="93" spans="1:4" x14ac:dyDescent="0.25">
      <c r="A93" s="78">
        <v>42552</v>
      </c>
      <c r="B93" s="101">
        <v>937.03368045185073</v>
      </c>
      <c r="C93" s="101">
        <v>83.621852991272533</v>
      </c>
      <c r="D93" s="25">
        <v>4</v>
      </c>
    </row>
    <row r="94" spans="1:4" x14ac:dyDescent="0.25">
      <c r="A94" s="78">
        <v>42583</v>
      </c>
      <c r="B94" s="101">
        <v>293</v>
      </c>
      <c r="C94" s="101">
        <v>0.18903142228642847</v>
      </c>
      <c r="D94" s="25">
        <v>4</v>
      </c>
    </row>
    <row r="95" spans="1:4" x14ac:dyDescent="0.25">
      <c r="A95" s="78">
        <v>42614</v>
      </c>
      <c r="B95" s="101">
        <v>295.98105661089585</v>
      </c>
      <c r="C95" s="101">
        <v>77.109786426372182</v>
      </c>
      <c r="D95" s="25">
        <v>4</v>
      </c>
    </row>
    <row r="96" spans="1:4" x14ac:dyDescent="0.25">
      <c r="A96" s="78">
        <v>42644</v>
      </c>
      <c r="B96" s="101">
        <v>954.55224464151968</v>
      </c>
      <c r="C96" s="101">
        <v>92.078631621742488</v>
      </c>
      <c r="D96" s="25">
        <v>4</v>
      </c>
    </row>
    <row r="97" spans="1:4" x14ac:dyDescent="0.25">
      <c r="A97" s="78">
        <v>42675</v>
      </c>
      <c r="B97" s="101">
        <v>583.56154834356676</v>
      </c>
      <c r="C97" s="101">
        <v>53.60284819759589</v>
      </c>
      <c r="D97" s="25">
        <v>5</v>
      </c>
    </row>
    <row r="98" spans="1:4" x14ac:dyDescent="0.25">
      <c r="A98" s="78">
        <v>42705</v>
      </c>
      <c r="B98" s="101">
        <v>4962.2970762344557</v>
      </c>
      <c r="C98" s="101">
        <v>8623.8255033368787</v>
      </c>
      <c r="D98" s="25">
        <v>6</v>
      </c>
    </row>
    <row r="99" spans="1:4" x14ac:dyDescent="0.25">
      <c r="A99" s="78">
        <v>42736</v>
      </c>
      <c r="B99" s="101">
        <v>1810.4129285316119</v>
      </c>
      <c r="C99" s="101">
        <v>466.51348734452813</v>
      </c>
      <c r="D99" s="25">
        <v>4</v>
      </c>
    </row>
    <row r="100" spans="1:4" x14ac:dyDescent="0.25">
      <c r="A100" s="78">
        <v>42767</v>
      </c>
      <c r="B100" s="101">
        <v>749.34824354180375</v>
      </c>
      <c r="C100" s="101">
        <v>211.66495166357214</v>
      </c>
      <c r="D100" s="25">
        <v>4</v>
      </c>
    </row>
    <row r="101" spans="1:4" x14ac:dyDescent="0.25">
      <c r="A101" s="78">
        <v>42795</v>
      </c>
      <c r="B101" s="101">
        <v>3301.3651799569698</v>
      </c>
      <c r="C101" s="101">
        <v>1298.5792644732285</v>
      </c>
      <c r="D101" s="25">
        <v>4</v>
      </c>
    </row>
    <row r="102" spans="1:4" x14ac:dyDescent="0.25">
      <c r="A102" s="78">
        <v>42826</v>
      </c>
      <c r="B102" s="101">
        <v>701.11298547908541</v>
      </c>
      <c r="C102" s="101">
        <v>191.95119505244026</v>
      </c>
      <c r="D102" s="25">
        <v>5</v>
      </c>
    </row>
    <row r="103" spans="1:4" x14ac:dyDescent="0.25">
      <c r="A103" s="78">
        <v>42856</v>
      </c>
      <c r="B103" s="101">
        <v>550.83609516068532</v>
      </c>
      <c r="C103" s="101">
        <v>82.132112193259687</v>
      </c>
      <c r="D103" s="25">
        <v>5</v>
      </c>
    </row>
    <row r="104" spans="1:4" x14ac:dyDescent="0.25">
      <c r="A104" s="78">
        <v>42887</v>
      </c>
      <c r="B104" s="101">
        <v>1545.3741406535746</v>
      </c>
      <c r="C104" s="101">
        <v>3787.5255340997946</v>
      </c>
      <c r="D104" s="25">
        <v>5</v>
      </c>
    </row>
    <row r="105" spans="1:4" x14ac:dyDescent="0.25">
      <c r="A105" s="78">
        <v>42917</v>
      </c>
      <c r="B105" s="101">
        <v>725.28114580365582</v>
      </c>
      <c r="C105" s="101">
        <v>129.42707843637064</v>
      </c>
      <c r="D105" s="25">
        <v>5</v>
      </c>
    </row>
    <row r="106" spans="1:4" x14ac:dyDescent="0.25">
      <c r="A106" s="78">
        <v>42948</v>
      </c>
      <c r="B106" s="101">
        <v>348.73647121271637</v>
      </c>
      <c r="C106" s="101">
        <v>450.19365708858521</v>
      </c>
      <c r="D106" s="25">
        <v>4</v>
      </c>
    </row>
    <row r="107" spans="1:4" x14ac:dyDescent="0.25">
      <c r="A107" s="78">
        <v>42979</v>
      </c>
      <c r="B107" s="101">
        <v>1180.2465125890049</v>
      </c>
      <c r="C107" s="101">
        <v>388.91453329958506</v>
      </c>
      <c r="D107" s="25">
        <v>4</v>
      </c>
    </row>
    <row r="108" spans="1:4" x14ac:dyDescent="0.25">
      <c r="A108" s="78">
        <v>43009</v>
      </c>
      <c r="B108" s="101">
        <v>404.79299020497922</v>
      </c>
      <c r="C108" s="101">
        <v>82.726797496541835</v>
      </c>
      <c r="D108" s="25">
        <v>4</v>
      </c>
    </row>
    <row r="109" spans="1:4" x14ac:dyDescent="0.25">
      <c r="A109" s="78">
        <v>43040</v>
      </c>
      <c r="B109" s="101">
        <v>2208.0833102586375</v>
      </c>
      <c r="C109" s="101">
        <v>1966.2053448262182</v>
      </c>
      <c r="D109" s="25">
        <v>4</v>
      </c>
    </row>
    <row r="110" spans="1:4" x14ac:dyDescent="0.25">
      <c r="A110" s="78">
        <v>43070</v>
      </c>
      <c r="B110" s="101">
        <v>1851.8115026749019</v>
      </c>
      <c r="C110" s="101">
        <v>102.09739959464976</v>
      </c>
      <c r="D110" s="25">
        <v>5</v>
      </c>
    </row>
    <row r="111" spans="1:4" x14ac:dyDescent="0.25">
      <c r="A111" s="78">
        <v>43101</v>
      </c>
      <c r="B111" s="101">
        <v>3358.0542168348529</v>
      </c>
      <c r="C111" s="101">
        <v>546.89156842561272</v>
      </c>
      <c r="D111" s="25">
        <v>6</v>
      </c>
    </row>
    <row r="112" spans="1:4" x14ac:dyDescent="0.25">
      <c r="A112" s="78">
        <v>43132</v>
      </c>
      <c r="B112" s="101">
        <v>587.09511485290966</v>
      </c>
      <c r="C112" s="101">
        <v>295.9166385886777</v>
      </c>
      <c r="D112" s="25">
        <v>7</v>
      </c>
    </row>
    <row r="113" spans="1:4" x14ac:dyDescent="0.25">
      <c r="A113" s="78">
        <v>43160</v>
      </c>
      <c r="B113" s="101">
        <v>381.15665321038534</v>
      </c>
      <c r="C113" s="101">
        <v>879.66637385508238</v>
      </c>
      <c r="D113" s="25">
        <v>7</v>
      </c>
    </row>
    <row r="114" spans="1:4" x14ac:dyDescent="0.25">
      <c r="A114" s="78">
        <v>43191</v>
      </c>
      <c r="B114" s="101">
        <v>1303.7902018807811</v>
      </c>
      <c r="C114" s="101">
        <v>228.4644078332239</v>
      </c>
      <c r="D114" s="25">
        <v>7</v>
      </c>
    </row>
    <row r="115" spans="1:4" x14ac:dyDescent="0.25">
      <c r="A115" s="78">
        <v>43221</v>
      </c>
      <c r="B115" s="101">
        <v>460.49593637536896</v>
      </c>
      <c r="C115" s="101">
        <v>103.11783584555164</v>
      </c>
      <c r="D115" s="25">
        <v>5</v>
      </c>
    </row>
    <row r="116" spans="1:4" x14ac:dyDescent="0.25">
      <c r="A116" s="78">
        <v>43252</v>
      </c>
      <c r="B116" s="101">
        <v>1421.8569646824949</v>
      </c>
      <c r="C116" s="101">
        <v>3798.9202708192838</v>
      </c>
      <c r="D116" s="25">
        <v>5</v>
      </c>
    </row>
    <row r="117" spans="1:4" x14ac:dyDescent="0.25">
      <c r="A117" s="78">
        <v>43282</v>
      </c>
      <c r="B117" s="101">
        <v>794.79914831405233</v>
      </c>
      <c r="C117" s="101">
        <v>756.27202052419932</v>
      </c>
      <c r="D117" s="25">
        <v>5</v>
      </c>
    </row>
    <row r="118" spans="1:4" x14ac:dyDescent="0.25">
      <c r="A118" s="78">
        <v>43313</v>
      </c>
      <c r="B118" s="101">
        <v>3580.6807790552634</v>
      </c>
      <c r="C118" s="101">
        <v>797.18863779071808</v>
      </c>
      <c r="D118" s="25">
        <v>5</v>
      </c>
    </row>
    <row r="119" spans="1:4" x14ac:dyDescent="0.25">
      <c r="A119" s="78">
        <v>43344</v>
      </c>
      <c r="B119" s="101">
        <v>384.34468528692696</v>
      </c>
      <c r="C119" s="101">
        <v>39.633138510490006</v>
      </c>
      <c r="D119" s="25">
        <v>5</v>
      </c>
    </row>
    <row r="120" spans="1:4" x14ac:dyDescent="0.25">
      <c r="A120" s="78">
        <v>43374</v>
      </c>
      <c r="B120" s="101">
        <v>452.57210231532082</v>
      </c>
      <c r="C120" s="101">
        <v>36.655989551047163</v>
      </c>
      <c r="D120" s="25">
        <v>5</v>
      </c>
    </row>
    <row r="121" spans="1:4" x14ac:dyDescent="0.25">
      <c r="A121" s="78">
        <v>43405</v>
      </c>
      <c r="B121" s="101">
        <v>424.42922451898028</v>
      </c>
      <c r="C121" s="101">
        <v>71.886852538101238</v>
      </c>
      <c r="D121" s="25">
        <v>6</v>
      </c>
    </row>
    <row r="122" spans="1:4" x14ac:dyDescent="0.25">
      <c r="A122" s="78">
        <v>43435</v>
      </c>
      <c r="B122" s="101">
        <v>411.39506464430008</v>
      </c>
      <c r="C122" s="101">
        <v>195.8785480477838</v>
      </c>
      <c r="D122" s="25">
        <v>6</v>
      </c>
    </row>
    <row r="123" spans="1:4" x14ac:dyDescent="0.25">
      <c r="A123" s="78">
        <v>43466</v>
      </c>
      <c r="B123" s="101">
        <v>1025.2979136725721</v>
      </c>
      <c r="C123" s="101">
        <v>201.98995629235355</v>
      </c>
      <c r="D123" s="25">
        <v>6</v>
      </c>
    </row>
    <row r="124" spans="1:4" x14ac:dyDescent="0.25">
      <c r="A124" s="78">
        <v>43497</v>
      </c>
      <c r="B124" s="101">
        <v>331.27391748676121</v>
      </c>
      <c r="C124" s="101">
        <v>120.87962892197488</v>
      </c>
      <c r="D124" s="25">
        <v>5</v>
      </c>
    </row>
    <row r="125" spans="1:4" x14ac:dyDescent="0.25">
      <c r="A125" s="78">
        <v>43525</v>
      </c>
      <c r="B125" s="101">
        <v>2898.0684572440482</v>
      </c>
      <c r="C125" s="101">
        <v>259.83367432852299</v>
      </c>
      <c r="D125" s="25">
        <v>5</v>
      </c>
    </row>
    <row r="126" spans="1:4" x14ac:dyDescent="0.25">
      <c r="A126" s="78">
        <v>43556</v>
      </c>
      <c r="B126" s="101">
        <v>571.46304979543561</v>
      </c>
      <c r="C126" s="101">
        <v>1183.2366218951881</v>
      </c>
      <c r="D126" s="25">
        <v>6</v>
      </c>
    </row>
    <row r="127" spans="1:4" x14ac:dyDescent="0.25">
      <c r="A127" s="78">
        <v>43586</v>
      </c>
      <c r="B127" s="101">
        <v>491</v>
      </c>
      <c r="C127" s="101">
        <v>25.178533958053784</v>
      </c>
      <c r="D127" s="25">
        <v>6</v>
      </c>
    </row>
    <row r="128" spans="1:4" x14ac:dyDescent="0.25">
      <c r="A128" s="78">
        <v>43617</v>
      </c>
      <c r="B128" s="101">
        <v>3541.0223795380698</v>
      </c>
      <c r="C128" s="101">
        <v>2672.6682868799739</v>
      </c>
      <c r="D128" s="25">
        <v>6</v>
      </c>
    </row>
    <row r="129" spans="1:4" x14ac:dyDescent="0.25">
      <c r="A129" s="78">
        <v>43647</v>
      </c>
      <c r="B129" s="101">
        <v>359.69413826988199</v>
      </c>
      <c r="C129" s="101">
        <v>4591.907714695184</v>
      </c>
      <c r="D129" s="25">
        <v>7</v>
      </c>
    </row>
    <row r="130" spans="1:4" x14ac:dyDescent="0.25">
      <c r="A130" s="78">
        <v>43678</v>
      </c>
      <c r="B130" s="101">
        <v>1320.2327779456759</v>
      </c>
      <c r="C130" s="101">
        <v>6675.211266448734</v>
      </c>
      <c r="D130" s="25">
        <v>7</v>
      </c>
    </row>
    <row r="131" spans="1:4" x14ac:dyDescent="0.25">
      <c r="A131" s="78">
        <v>43709</v>
      </c>
      <c r="B131" s="101">
        <v>865.96350329173265</v>
      </c>
      <c r="C131" s="101">
        <v>381.46207144105222</v>
      </c>
      <c r="D131" s="25">
        <v>7</v>
      </c>
    </row>
    <row r="132" spans="1:4" x14ac:dyDescent="0.25">
      <c r="A132" s="78">
        <v>43739</v>
      </c>
      <c r="B132" s="101">
        <v>482.06073466804025</v>
      </c>
      <c r="C132" s="101">
        <v>62.057863374994227</v>
      </c>
      <c r="D132" s="25">
        <v>6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"/>
  <sheetViews>
    <sheetView workbookViewId="0"/>
  </sheetViews>
  <sheetFormatPr defaultRowHeight="15" x14ac:dyDescent="0.25"/>
  <sheetData>
    <row r="3" spans="3:3" x14ac:dyDescent="0.25">
      <c r="C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V27"/>
  <sheetViews>
    <sheetView workbookViewId="0"/>
  </sheetViews>
  <sheetFormatPr defaultColWidth="15.7109375" defaultRowHeight="15" x14ac:dyDescent="0.25"/>
  <cols>
    <col min="1" max="16384" width="15.7109375" style="3"/>
  </cols>
  <sheetData>
    <row r="1" spans="1:204" x14ac:dyDescent="0.25">
      <c r="A1" s="3" t="s">
        <v>44</v>
      </c>
      <c r="B1" s="9">
        <f>Modelo!$C$31</f>
        <v>0</v>
      </c>
      <c r="C1" s="7"/>
      <c r="D1" s="7"/>
      <c r="E1" s="5"/>
      <c r="F1" s="3" t="s">
        <v>57</v>
      </c>
      <c r="I1" s="3" t="s">
        <v>37</v>
      </c>
      <c r="J1" s="5">
        <v>4</v>
      </c>
      <c r="L1" s="3" t="s">
        <v>34</v>
      </c>
      <c r="M1" s="5" t="b">
        <v>1</v>
      </c>
      <c r="O1" s="3" t="s">
        <v>81</v>
      </c>
      <c r="Y1" s="3" t="s">
        <v>83</v>
      </c>
      <c r="AA1" s="3" t="s">
        <v>121</v>
      </c>
      <c r="AD1" s="3" t="s">
        <v>111</v>
      </c>
    </row>
    <row r="2" spans="1:204" x14ac:dyDescent="0.25">
      <c r="A2" s="3" t="s">
        <v>45</v>
      </c>
      <c r="B2" s="6">
        <v>2</v>
      </c>
      <c r="C2" s="6">
        <v>0</v>
      </c>
      <c r="F2" s="3" t="s">
        <v>58</v>
      </c>
      <c r="G2" s="6" t="b">
        <v>0</v>
      </c>
      <c r="H2" s="6"/>
      <c r="I2" s="3" t="s">
        <v>28</v>
      </c>
      <c r="J2" s="5"/>
      <c r="L2" s="3" t="s">
        <v>92</v>
      </c>
      <c r="M2" s="7"/>
      <c r="O2" s="3" t="s">
        <v>30</v>
      </c>
      <c r="P2" s="5"/>
      <c r="R2" s="3" t="s">
        <v>38</v>
      </c>
      <c r="S2" s="8" t="s">
        <v>61</v>
      </c>
      <c r="U2" s="3" t="s">
        <v>42</v>
      </c>
      <c r="V2" s="5"/>
      <c r="X2" s="3" t="s">
        <v>84</v>
      </c>
      <c r="Y2" s="6">
        <v>1</v>
      </c>
      <c r="AA2" s="3" t="s">
        <v>122</v>
      </c>
      <c r="AB2" s="6">
        <v>0</v>
      </c>
      <c r="AD2" s="3" t="s">
        <v>112</v>
      </c>
      <c r="AE2" s="6" t="b">
        <v>0</v>
      </c>
    </row>
    <row r="3" spans="1:204" x14ac:dyDescent="0.25">
      <c r="A3" s="3" t="s">
        <v>49</v>
      </c>
      <c r="B3" s="6" t="b">
        <v>0</v>
      </c>
      <c r="C3" s="6">
        <v>1000</v>
      </c>
      <c r="F3" s="3" t="s">
        <v>94</v>
      </c>
      <c r="G3" s="6" t="b">
        <v>0</v>
      </c>
      <c r="H3" s="6"/>
      <c r="I3" s="3" t="s">
        <v>29</v>
      </c>
      <c r="J3" s="11">
        <v>144500</v>
      </c>
      <c r="L3" s="3" t="s">
        <v>91</v>
      </c>
      <c r="M3" s="7"/>
      <c r="N3" s="7"/>
      <c r="O3" s="3" t="s">
        <v>31</v>
      </c>
      <c r="P3" s="5"/>
      <c r="R3" s="3" t="s">
        <v>39</v>
      </c>
      <c r="S3" s="8" t="s">
        <v>128</v>
      </c>
      <c r="U3" s="3" t="s">
        <v>43</v>
      </c>
      <c r="V3" s="5"/>
      <c r="X3" s="3" t="s">
        <v>85</v>
      </c>
      <c r="Y3" s="6">
        <v>0.5</v>
      </c>
      <c r="AA3" s="3" t="s">
        <v>123</v>
      </c>
      <c r="AB3" s="5"/>
      <c r="AD3" s="3" t="s">
        <v>113</v>
      </c>
      <c r="AE3" s="6">
        <v>10000</v>
      </c>
    </row>
    <row r="4" spans="1:204" x14ac:dyDescent="0.25">
      <c r="A4" s="3" t="s">
        <v>51</v>
      </c>
      <c r="B4" s="6" t="b">
        <v>0</v>
      </c>
      <c r="C4" s="6">
        <v>5</v>
      </c>
      <c r="D4" s="6">
        <v>2</v>
      </c>
      <c r="F4" s="3" t="s">
        <v>95</v>
      </c>
      <c r="G4" s="6" t="b">
        <v>0</v>
      </c>
      <c r="H4" s="6"/>
      <c r="L4" s="3" t="s">
        <v>89</v>
      </c>
      <c r="M4" s="7"/>
      <c r="O4" s="3" t="s">
        <v>32</v>
      </c>
      <c r="P4" s="5"/>
      <c r="R4" s="3" t="s">
        <v>40</v>
      </c>
      <c r="S4" s="8" t="s">
        <v>62</v>
      </c>
      <c r="X4" s="3" t="s">
        <v>86</v>
      </c>
      <c r="Y4" s="6">
        <v>0.7</v>
      </c>
      <c r="AA4" s="3" t="s">
        <v>124</v>
      </c>
      <c r="AB4" s="5"/>
      <c r="AD4" s="3" t="s">
        <v>114</v>
      </c>
      <c r="AE4" s="6" t="b">
        <v>0</v>
      </c>
    </row>
    <row r="5" spans="1:204" x14ac:dyDescent="0.25">
      <c r="A5" s="3" t="s">
        <v>52</v>
      </c>
      <c r="B5" s="6" t="b">
        <v>1</v>
      </c>
      <c r="C5" s="6">
        <v>20000</v>
      </c>
      <c r="D5" s="6">
        <v>0.01</v>
      </c>
      <c r="E5" s="6" t="b">
        <v>1</v>
      </c>
      <c r="F5" s="3" t="s">
        <v>59</v>
      </c>
      <c r="G5" s="6" t="b">
        <v>0</v>
      </c>
      <c r="H5" s="6"/>
      <c r="L5" s="3" t="s">
        <v>90</v>
      </c>
      <c r="M5" s="7"/>
      <c r="O5" s="3" t="s">
        <v>33</v>
      </c>
      <c r="P5" s="5"/>
      <c r="R5" s="3" t="s">
        <v>41</v>
      </c>
      <c r="S5" s="8" t="s">
        <v>127</v>
      </c>
      <c r="X5" s="3" t="s">
        <v>87</v>
      </c>
      <c r="Y5" s="6" t="s">
        <v>98</v>
      </c>
      <c r="AA5" s="3" t="s">
        <v>125</v>
      </c>
      <c r="AB5" s="5"/>
      <c r="AD5" s="3" t="s">
        <v>115</v>
      </c>
      <c r="AE5" s="6">
        <v>15</v>
      </c>
    </row>
    <row r="6" spans="1:204" x14ac:dyDescent="0.25">
      <c r="A6" s="3" t="s">
        <v>50</v>
      </c>
      <c r="B6" s="6" t="b">
        <v>0</v>
      </c>
      <c r="C6" s="6"/>
      <c r="F6" s="3" t="s">
        <v>60</v>
      </c>
      <c r="G6" s="6" t="b">
        <v>0</v>
      </c>
      <c r="H6" s="6"/>
      <c r="L6" s="3" t="s">
        <v>96</v>
      </c>
      <c r="M6" s="7"/>
      <c r="N6" s="7"/>
      <c r="R6" s="3" t="s">
        <v>82</v>
      </c>
      <c r="S6" s="5"/>
      <c r="X6" s="3" t="s">
        <v>88</v>
      </c>
      <c r="Y6" s="7"/>
      <c r="AA6" s="3" t="s">
        <v>126</v>
      </c>
      <c r="AB6" s="5"/>
      <c r="AD6" s="3" t="s">
        <v>116</v>
      </c>
      <c r="AE6" s="6">
        <v>2</v>
      </c>
    </row>
    <row r="7" spans="1:204" x14ac:dyDescent="0.25">
      <c r="A7" s="3" t="s">
        <v>46</v>
      </c>
      <c r="B7" s="6">
        <v>200</v>
      </c>
      <c r="L7" s="3" t="s">
        <v>97</v>
      </c>
      <c r="M7" s="7"/>
      <c r="N7" s="7"/>
      <c r="R7" s="3" t="s">
        <v>110</v>
      </c>
      <c r="S7" s="5"/>
      <c r="AD7" s="3" t="s">
        <v>117</v>
      </c>
      <c r="AE7" s="6" t="b">
        <v>1</v>
      </c>
    </row>
    <row r="8" spans="1:204" x14ac:dyDescent="0.25">
      <c r="A8" s="3" t="s">
        <v>1</v>
      </c>
      <c r="B8" s="3" t="s">
        <v>1</v>
      </c>
      <c r="F8" s="3" t="s">
        <v>47</v>
      </c>
      <c r="G8" s="6" t="b">
        <v>1</v>
      </c>
      <c r="H8" s="6">
        <v>5</v>
      </c>
      <c r="AD8" s="3" t="s">
        <v>118</v>
      </c>
      <c r="AE8" s="6">
        <v>10000</v>
      </c>
    </row>
    <row r="9" spans="1:204" x14ac:dyDescent="0.25">
      <c r="A9" s="3" t="s">
        <v>56</v>
      </c>
      <c r="B9" s="6">
        <v>3</v>
      </c>
      <c r="F9" s="3" t="s">
        <v>53</v>
      </c>
      <c r="G9" s="6" t="b">
        <v>0</v>
      </c>
      <c r="AD9" s="3" t="s">
        <v>119</v>
      </c>
      <c r="AE9" s="6">
        <v>0.01</v>
      </c>
    </row>
    <row r="10" spans="1:204" x14ac:dyDescent="0.25">
      <c r="A10" s="3" t="s">
        <v>48</v>
      </c>
      <c r="B10" s="6" t="b">
        <v>0</v>
      </c>
      <c r="AD10" s="3" t="s">
        <v>120</v>
      </c>
      <c r="AE10" s="6" t="b">
        <v>1</v>
      </c>
    </row>
    <row r="11" spans="1:204" x14ac:dyDescent="0.25">
      <c r="A11" s="3" t="s">
        <v>93</v>
      </c>
      <c r="B11" s="6" t="b">
        <v>1</v>
      </c>
    </row>
    <row r="12" spans="1:204" x14ac:dyDescent="0.25">
      <c r="A12" s="3" t="s">
        <v>55</v>
      </c>
      <c r="B12" s="6" t="b">
        <v>0</v>
      </c>
      <c r="F12" s="3" t="s">
        <v>54</v>
      </c>
      <c r="G12" s="6">
        <v>2</v>
      </c>
    </row>
    <row r="14" spans="1:204" ht="15.75" thickBot="1" x14ac:dyDescent="0.3">
      <c r="A14" s="3" t="s">
        <v>35</v>
      </c>
      <c r="B14" s="5">
        <v>1</v>
      </c>
      <c r="AX14" s="3" t="s">
        <v>36</v>
      </c>
      <c r="AY14" s="5">
        <v>2</v>
      </c>
    </row>
    <row r="15" spans="1:204" s="4" customFormat="1" ht="15.75" thickTop="1" x14ac:dyDescent="0.25">
      <c r="A15" s="4" t="s">
        <v>78</v>
      </c>
      <c r="B15" s="4" t="s">
        <v>79</v>
      </c>
      <c r="C15" s="4" t="s">
        <v>80</v>
      </c>
      <c r="D15" s="4" t="s">
        <v>2</v>
      </c>
      <c r="E15" s="4" t="s">
        <v>3</v>
      </c>
      <c r="F15" s="4" t="s">
        <v>4</v>
      </c>
      <c r="G15" s="4" t="s">
        <v>5</v>
      </c>
      <c r="H15" s="4" t="s">
        <v>6</v>
      </c>
      <c r="I15" s="4" t="s">
        <v>7</v>
      </c>
      <c r="J15" s="4" t="s">
        <v>8</v>
      </c>
      <c r="K15" s="4" t="s">
        <v>9</v>
      </c>
      <c r="AR15" s="4" t="s">
        <v>10</v>
      </c>
      <c r="AS15" s="4" t="s">
        <v>11</v>
      </c>
      <c r="AT15" s="4" t="s">
        <v>12</v>
      </c>
      <c r="AU15" s="4" t="s">
        <v>13</v>
      </c>
      <c r="AV15" s="4" t="s">
        <v>14</v>
      </c>
      <c r="AW15" s="4" t="s">
        <v>15</v>
      </c>
      <c r="AX15" s="4" t="s">
        <v>16</v>
      </c>
      <c r="AY15" s="4" t="s">
        <v>17</v>
      </c>
      <c r="AZ15" s="4" t="s">
        <v>18</v>
      </c>
      <c r="BA15" s="4" t="s">
        <v>2</v>
      </c>
      <c r="BB15" s="4" t="s">
        <v>19</v>
      </c>
      <c r="BC15" s="4" t="s">
        <v>20</v>
      </c>
      <c r="BD15" s="4" t="s">
        <v>21</v>
      </c>
      <c r="BE15" s="4" t="s">
        <v>22</v>
      </c>
      <c r="BF15" s="4" t="s">
        <v>23</v>
      </c>
      <c r="BG15" s="4" t="s">
        <v>24</v>
      </c>
      <c r="BH15" s="4" t="s">
        <v>25</v>
      </c>
      <c r="BI15" s="4" t="s">
        <v>26</v>
      </c>
      <c r="BJ15" s="4" t="s">
        <v>27</v>
      </c>
      <c r="BK15" s="4" t="s">
        <v>99</v>
      </c>
      <c r="BL15" s="4" t="s">
        <v>100</v>
      </c>
      <c r="BM15" s="4" t="s">
        <v>101</v>
      </c>
      <c r="BN15" s="4" t="s">
        <v>102</v>
      </c>
      <c r="BO15" s="4" t="s">
        <v>103</v>
      </c>
      <c r="BP15" s="4" t="s">
        <v>104</v>
      </c>
      <c r="BQ15" s="4" t="s">
        <v>105</v>
      </c>
      <c r="BR15" s="4" t="s">
        <v>106</v>
      </c>
      <c r="BS15" s="4" t="s">
        <v>107</v>
      </c>
      <c r="BT15" s="4" t="s">
        <v>108</v>
      </c>
      <c r="BU15" s="4" t="s">
        <v>109</v>
      </c>
    </row>
    <row r="16" spans="1:204" x14ac:dyDescent="0.25">
      <c r="A16" s="3" t="s">
        <v>75</v>
      </c>
      <c r="B16" s="3">
        <v>0.5</v>
      </c>
      <c r="C16" s="3">
        <v>0.7</v>
      </c>
      <c r="D16" s="10" t="s">
        <v>67</v>
      </c>
      <c r="G16" s="3">
        <v>1</v>
      </c>
      <c r="H16" s="3" t="e">
        <f>Modelo!$C$11:$F$11</f>
        <v>#VALUE!</v>
      </c>
      <c r="I16" s="3" t="e">
        <f>Modelo!$C$9:$F$9</f>
        <v>#VALUE!</v>
      </c>
      <c r="J16" s="3" t="e">
        <f>Modelo!$C$13:$F$13</f>
        <v>#VALUE!</v>
      </c>
      <c r="K16" s="3" t="s">
        <v>76</v>
      </c>
      <c r="L16" s="3">
        <v>0</v>
      </c>
      <c r="M16" s="3" t="b">
        <v>0</v>
      </c>
      <c r="AX16" s="3">
        <v>2</v>
      </c>
      <c r="AY16" s="3">
        <v>1</v>
      </c>
      <c r="BA16" s="3" t="s">
        <v>77</v>
      </c>
      <c r="BB16" s="3">
        <v>0</v>
      </c>
      <c r="BC16" s="3">
        <v>6</v>
      </c>
      <c r="BD16" s="3" t="e">
        <f>Modelo!#REF!</f>
        <v>#REF!</v>
      </c>
      <c r="BE16" s="3">
        <v>4</v>
      </c>
      <c r="BF16" s="3" t="e">
        <f>Modelo!#REF!</f>
        <v>#REF!</v>
      </c>
      <c r="BG16" s="3" t="e">
        <f>100*(EXP(DEVIATION/100)-1)</f>
        <v>#NAME?</v>
      </c>
      <c r="BK16" s="3">
        <v>-1</v>
      </c>
      <c r="BM16" s="3" t="b">
        <v>0</v>
      </c>
      <c r="BN16" s="3" t="b">
        <v>0</v>
      </c>
      <c r="GV16" s="10"/>
    </row>
    <row r="17" spans="1:204" x14ac:dyDescent="0.25">
      <c r="A17" s="3" t="s">
        <v>63</v>
      </c>
      <c r="AX17" s="3">
        <v>2</v>
      </c>
      <c r="AY17" s="3">
        <v>1</v>
      </c>
      <c r="BA17" s="3" t="s">
        <v>0</v>
      </c>
      <c r="BB17" s="3">
        <v>0</v>
      </c>
      <c r="BC17" s="3">
        <v>6</v>
      </c>
      <c r="BD17" s="3">
        <f>Modelo!$C$27</f>
        <v>0</v>
      </c>
      <c r="BE17" s="3">
        <v>2</v>
      </c>
      <c r="BF17" s="3">
        <f>Modelo!$E$27</f>
        <v>0</v>
      </c>
      <c r="BG17" s="3" t="e">
        <f>100*(EXP(DEVIATION/100)-1)</f>
        <v>#NAME?</v>
      </c>
      <c r="BK17" s="3">
        <v>-1</v>
      </c>
      <c r="BM17" s="3" t="b">
        <v>0</v>
      </c>
      <c r="BN17" s="3" t="b">
        <v>0</v>
      </c>
      <c r="GV17" s="10"/>
    </row>
    <row r="18" spans="1:204" x14ac:dyDescent="0.25">
      <c r="A18" s="3" t="s">
        <v>64</v>
      </c>
    </row>
    <row r="19" spans="1:204" x14ac:dyDescent="0.25">
      <c r="A19" s="3" t="s">
        <v>65</v>
      </c>
    </row>
    <row r="20" spans="1:204" x14ac:dyDescent="0.25">
      <c r="A20" s="3" t="s">
        <v>66</v>
      </c>
    </row>
    <row r="21" spans="1:204" x14ac:dyDescent="0.25">
      <c r="A21" s="3" t="s">
        <v>68</v>
      </c>
    </row>
    <row r="22" spans="1:204" x14ac:dyDescent="0.25">
      <c r="A22" s="3" t="s">
        <v>69</v>
      </c>
    </row>
    <row r="23" spans="1:204" x14ac:dyDescent="0.25">
      <c r="A23" s="3" t="s">
        <v>70</v>
      </c>
    </row>
    <row r="24" spans="1:204" x14ac:dyDescent="0.25">
      <c r="A24" s="3" t="s">
        <v>71</v>
      </c>
    </row>
    <row r="25" spans="1:204" x14ac:dyDescent="0.25">
      <c r="A25" s="3" t="s">
        <v>72</v>
      </c>
    </row>
    <row r="26" spans="1:204" x14ac:dyDescent="0.25">
      <c r="A26" s="3" t="s">
        <v>73</v>
      </c>
    </row>
    <row r="27" spans="1:204" x14ac:dyDescent="0.25">
      <c r="A27" s="3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PROBLEMA</vt:lpstr>
      <vt:lpstr>Modelo</vt:lpstr>
      <vt:lpstr>Consumo</vt:lpstr>
      <vt:lpstr>Encargos</vt:lpstr>
      <vt:lpstr>_PalUtilTempWorksheet</vt:lpstr>
      <vt:lpstr>ev_HiddenInfo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Felipe Coelho</cp:lastModifiedBy>
  <cp:lastPrinted>2019-01-25T23:10:42Z</cp:lastPrinted>
  <dcterms:created xsi:type="dcterms:W3CDTF">2011-09-08T17:35:54Z</dcterms:created>
  <dcterms:modified xsi:type="dcterms:W3CDTF">2019-12-10T18:42:44Z</dcterms:modified>
</cp:coreProperties>
</file>